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3494e459d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adoria_Exames" sheetId="1" r:id="R6be27cf0d4f64c92"/>
    <x:sheet xmlns:r="http://schemas.openxmlformats.org/officeDocument/2006/relationships" name="Dicionario_Campos" sheetId="2" r:id="R358e1a259e02441e"/>
    <x:sheet xmlns:r="http://schemas.openxmlformats.org/officeDocument/2006/relationships" name="Resumo_Amostra" sheetId="3" r:id="Red815ab188ab4c8f"/>
    <x:sheet xmlns:r="http://schemas.openxmlformats.org/officeDocument/2006/relationships" name="Controle_Anonimizacao" sheetId="4" r:id="Rdf6b9efa31c1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"/>
  </x:numFmts>
  <x:fonts count="6">
    <x:font>
      <x:sz val="11"/>
      <x:name val="Carlito"/>
    </x:font>
    <x:font>
      <x:sz val="10"/>
      <x:name val="Calibri"/>
    </x:font>
    <x:font>
      <x:b/>
      <x:sz val="10"/>
      <x:color rgb="FFFFFFFF"/>
      <x:name val="Calibri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5C5C"/>
      </x:patternFill>
    </x:fill>
    <x:fill>
      <x:patternFill patternType="solid">
        <x:fgColor rgb="FF0F766E"/>
      </x:patternFill>
    </x:fill>
    <x:fill>
      <x:patternFill patternType="solid">
        <x:fgColor rgb="FFD9EDE9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abe8db67c4f8c" /><Relationship Type="http://schemas.openxmlformats.org/officeDocument/2006/relationships/theme" Target="/xl/theme/theme1.xml" Id="R26cda03bd0e04cb4" /><Relationship Type="http://schemas.openxmlformats.org/officeDocument/2006/relationships/sharedStrings" Target="/xl/sharedStrings.xml" Id="R2a90e0d440794c68" /><Relationship Type="http://schemas.openxmlformats.org/officeDocument/2006/relationships/worksheet" Target="/xl/worksheets/sheet1.xml" Id="R6be27cf0d4f64c92" /><Relationship Type="http://schemas.openxmlformats.org/officeDocument/2006/relationships/worksheet" Target="/xl/worksheets/sheet2.xml" Id="R358e1a259e02441e" /><Relationship Type="http://schemas.openxmlformats.org/officeDocument/2006/relationships/worksheet" Target="/xl/worksheets/sheet3.xml" Id="Red815ab188ab4c8f" /><Relationship Type="http://schemas.openxmlformats.org/officeDocument/2006/relationships/worksheet" Target="/xl/worksheets/sheet4.xml" Id="Rdf6b9efa31c147d3" /></Relationships>
</file>

<file path=xl/tables/table1.xml><?xml version="1.0" encoding="utf-8"?>
<x:table xmlns:x="http://schemas.openxmlformats.org/spreadsheetml/2006/main" id="1" name="Tabela_Curadoria_Exames" displayName="Tabela_Curadoria_Exames" ref="A1:Y116" headerRowCount="1">
  <x:tableColumns count="25">
    <x:tableColumn id="1" name="codigo_exame"/>
    <x:tableColumn id="2" name="grupo_amostra"/>
    <x:tableColumn id="3" name="data_exame"/>
    <x:tableColumn id="4" name="periodo_base"/>
    <x:tableColumn id="5" name="especie"/>
    <x:tableColumn id="6" name="sexo"/>
    <x:tableColumn id="7" name="idade"/>
    <x:tableColumn id="8" name="peso_kg"/>
    <x:tableColumn id="9" name="orgao_regiao_principal"/>
    <x:tableColumn id="10" name="outros_orgaos_avaliados"/>
    <x:tableColumn id="11" name="tipo_caso"/>
    <x:tableColumn id="12" name="normal_ou_alterado"/>
    <x:tableColumn id="13" name="descricao_tecnica_associada"/>
    <x:tableColumn id="14" name="quantidade_imagens"/>
    <x:tableColumn id="15" name="qualidade_imagem"/>
    <x:tableColumn id="16" name="clareza_diagnostica"/>
    <x:tableColumn id="17" name="dados_identificaveis_na_imagem"/>
    <x:tableColumn id="18" name="dados_identificaveis_no_texto"/>
    <x:tableColumn id="19" name="anonimizacao_possivel"/>
    <x:tableColumn id="20" name="status_anonimizacao"/>
    <x:tableColumn id="21" name="incluido_na_amostra"/>
    <x:tableColumn id="22" name="motivo_exclusao"/>
    <x:tableColumn id="23" name="prioridade_processamento"/>
    <x:tableColumn id="24" name="status_processamento"/>
    <x:tableColumn id="25" name="observacoes_curadoria"/>
  </x:tableColumns>
  <x:tableStyleInfo name="TableStyleMedium2" showRowStripes="1"/>
</x:table>
</file>

<file path=xl/tables/table2.xml><?xml version="1.0" encoding="utf-8"?>
<x:table xmlns:x="http://schemas.openxmlformats.org/spreadsheetml/2006/main" id="2" name="Tabela_Dicionario_Campos" displayName="Tabela_Dicionario_Campos" ref="A1:F26" headerRowCount="1">
  <x:tableColumns count="6">
    <x:tableColumn id="1" name="campo"/>
    <x:tableColumn id="2" name="descricao"/>
    <x:tableColumn id="3" name="tipo_de_dado"/>
    <x:tableColumn id="4" name="preenchimento_obrigatorio"/>
    <x:tableColumn id="5" name="exemplo"/>
    <x:tableColumn id="6" name="observacao"/>
  </x:tableColumns>
  <x:tableStyleInfo name="TableStyleMedium2" showRowStripes="1"/>
</x:table>
</file>

<file path=xl/tables/table3.xml><?xml version="1.0" encoding="utf-8"?>
<x:table xmlns:x="http://schemas.openxmlformats.org/spreadsheetml/2006/main" id="3" name="Tabela_Controle_Anonimizacao" displayName="Tabela_Controle_Anonimizacao" ref="A1:K116" headerRowCount="1">
  <x:tableColumns count="11">
    <x:tableColumn id="1" name="codigo_exame"/>
    <x:tableColumn id="2" name="grupo_amostra"/>
    <x:tableColumn id="3" name="quantidade_imagens_originais"/>
    <x:tableColumn id="4" name="quantidade_imagens_anonimizadas"/>
    <x:tableColumn id="5" name="existe_identificacao_visual"/>
    <x:tableColumn id="6" name="tipo_identificacao_encontrada"/>
    <x:tableColumn id="7" name="acao_realizada"/>
    <x:tableColumn id="8" name="responsavel_verificacao"/>
    <x:tableColumn id="9" name="data_verificacao"/>
    <x:tableColumn id="10" name="status_final"/>
    <x:tableColumn id="11" name="observaco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70d817368244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6871f0b83b46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eab8438851462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22" hidden="0" customWidth="1"/>
    <x:col min="5" max="5" width="13" hidden="0" customWidth="1"/>
    <x:col min="6" max="6" width="16" hidden="0" customWidth="1"/>
    <x:col min="7" max="7" width="12" hidden="0" customWidth="1"/>
    <x:col min="8" max="8" width="10" hidden="0" customWidth="1"/>
    <x:col min="9" max="9" width="24" hidden="0" customWidth="1"/>
    <x:col min="10" max="10" width="26" hidden="0" customWidth="1"/>
    <x:col min="11" max="11" width="20" hidden="0" customWidth="1"/>
    <x:col min="12" max="12" width="18" hidden="0" customWidth="1"/>
    <x:col min="13" max="13" width="24" hidden="0" customWidth="1"/>
    <x:col min="14" max="14" width="18" hidden="0" customWidth="1"/>
    <x:col min="15" max="15" width="17" hidden="0" customWidth="1"/>
    <x:col min="16" max="16" width="20" hidden="0" customWidth="1"/>
    <x:col min="17" max="17" width="26" hidden="0" customWidth="1"/>
    <x:col min="18" max="18" width="26" hidden="0" customWidth="1"/>
    <x:col min="19" max="19" width="24" hidden="0" customWidth="1"/>
    <x:col min="20" max="20" width="20" hidden="0" customWidth="1"/>
    <x:col min="21" max="21" width="18" hidden="0" customWidth="1"/>
    <x:col min="22" max="22" width="30" hidden="0" customWidth="1"/>
    <x:col min="23" max="23" width="22" hidden="0" customWidth="1"/>
    <x:col min="24" max="24" width="22" hidden="0" customWidth="1"/>
    <x:col min="25" max="25" width="36" hidden="0" customWidth="1"/>
  </x:cols>
  <x:sheetData>
    <x:row r="1" ht="34" customHeight="1">
      <x:c r="A1" s="11" t="str">
        <x:v>codigo_exame</x:v>
      </x:c>
      <x:c r="B1" s="11" t="str">
        <x:v>grupo_amostra</x:v>
      </x:c>
      <x:c r="C1" s="11" t="str">
        <x:v>data_exame</x:v>
      </x:c>
      <x:c r="D1" s="11" t="str">
        <x:v>periodo_base</x:v>
      </x:c>
      <x:c r="E1" s="11" t="str">
        <x:v>especie</x:v>
      </x:c>
      <x:c r="F1" s="11" t="str">
        <x:v>sexo</x:v>
      </x:c>
      <x:c r="G1" s="11" t="str">
        <x:v>idade</x:v>
      </x:c>
      <x:c r="H1" s="11" t="str">
        <x:v>peso_kg</x:v>
      </x:c>
      <x:c r="I1" s="11" t="str">
        <x:v>orgao_regiao_principal</x:v>
      </x:c>
      <x:c r="J1" s="11" t="str">
        <x:v>outros_orgaos_avaliados</x:v>
      </x:c>
      <x:c r="K1" s="11" t="str">
        <x:v>tipo_caso</x:v>
      </x:c>
      <x:c r="L1" s="11" t="str">
        <x:v>normal_ou_alterado</x:v>
      </x:c>
      <x:c r="M1" s="11" t="str">
        <x:v>descricao_tecnica_associada</x:v>
      </x:c>
      <x:c r="N1" s="11" t="str">
        <x:v>quantidade_imagens</x:v>
      </x:c>
      <x:c r="O1" s="11" t="str">
        <x:v>qualidade_imagem</x:v>
      </x:c>
      <x:c r="P1" s="11" t="str">
        <x:v>clareza_diagnostica</x:v>
      </x:c>
      <x:c r="Q1" s="11" t="str">
        <x:v>dados_identificaveis_na_imagem</x:v>
      </x:c>
      <x:c r="R1" s="11" t="str">
        <x:v>dados_identificaveis_no_texto</x:v>
      </x:c>
      <x:c r="S1" s="11" t="str">
        <x:v>anonimizacao_possivel</x:v>
      </x:c>
      <x:c r="T1" s="11" t="str">
        <x:v>status_anonimizacao</x:v>
      </x:c>
      <x:c r="U1" s="11" t="str">
        <x:v>incluido_na_amostra</x:v>
      </x:c>
      <x:c r="V1" s="11" t="str">
        <x:v>motivo_exclusao</x:v>
      </x:c>
      <x:c r="W1" s="11" t="str">
        <x:v>prioridade_processamento</x:v>
      </x:c>
      <x:c r="X1" s="11" t="str">
        <x:v>status_processamento</x:v>
      </x:c>
      <x:c r="Y1" s="11" t="str">
        <x:v>observacoes_curadoria</x:v>
      </x:c>
    </x:row>
    <x:row r="2">
      <x:c r="A2" s="4" t="str">
        <x:v>USVET_001</x:v>
      </x:c>
      <x:c r="B2" s="4" t="str">
        <x:v>piloto</x:v>
      </x:c>
      <x:c r="C2" s="16"/>
      <x:c r="D2" s="4"/>
      <x:c r="E2" s="4"/>
      <x:c r="F2" s="4"/>
      <x:c r="G2" s="4"/>
      <x:c r="H2" s="18"/>
      <x:c r="I2" s="4"/>
      <x:c r="J2" s="4"/>
      <x:c r="K2" s="4"/>
      <x:c r="L2" s="4"/>
      <x:c r="M2" s="4"/>
      <x:c r="N2" s="20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>
      <x:c r="A3" s="4" t="str">
        <x:v>USVET_002</x:v>
      </x:c>
      <x:c r="B3" s="4" t="str">
        <x:v>piloto</x:v>
      </x:c>
      <x:c r="C3" s="16"/>
      <x:c r="D3" s="4"/>
      <x:c r="E3" s="4"/>
      <x:c r="F3" s="4"/>
      <x:c r="G3" s="4"/>
      <x:c r="H3" s="18"/>
      <x:c r="I3" s="4"/>
      <x:c r="J3" s="4"/>
      <x:c r="K3" s="4"/>
      <x:c r="L3" s="4"/>
      <x:c r="M3" s="4"/>
      <x:c r="N3" s="20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</x:row>
    <x:row r="4">
      <x:c r="A4" s="4" t="str">
        <x:v>USVET_003</x:v>
      </x:c>
      <x:c r="B4" s="4" t="str">
        <x:v>piloto</x:v>
      </x:c>
      <x:c r="C4" s="16"/>
      <x:c r="D4" s="4"/>
      <x:c r="E4" s="4"/>
      <x:c r="F4" s="4"/>
      <x:c r="G4" s="4"/>
      <x:c r="H4" s="18"/>
      <x:c r="I4" s="4"/>
      <x:c r="J4" s="4"/>
      <x:c r="K4" s="4"/>
      <x:c r="L4" s="4"/>
      <x:c r="M4" s="4"/>
      <x:c r="N4" s="20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</x:row>
    <x:row r="5">
      <x:c r="A5" s="4" t="str">
        <x:v>USVET_004</x:v>
      </x:c>
      <x:c r="B5" s="4" t="str">
        <x:v>piloto</x:v>
      </x:c>
      <x:c r="C5" s="16"/>
      <x:c r="D5" s="4"/>
      <x:c r="E5" s="4"/>
      <x:c r="F5" s="4"/>
      <x:c r="G5" s="4"/>
      <x:c r="H5" s="18"/>
      <x:c r="I5" s="4"/>
      <x:c r="J5" s="4"/>
      <x:c r="K5" s="4"/>
      <x:c r="L5" s="4"/>
      <x:c r="M5" s="4"/>
      <x:c r="N5" s="20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</x:row>
    <x:row r="6">
      <x:c r="A6" s="4" t="str">
        <x:v>USVET_005</x:v>
      </x:c>
      <x:c r="B6" s="4" t="str">
        <x:v>piloto</x:v>
      </x:c>
      <x:c r="C6" s="16"/>
      <x:c r="D6" s="4"/>
      <x:c r="E6" s="4"/>
      <x:c r="F6" s="4"/>
      <x:c r="G6" s="4"/>
      <x:c r="H6" s="18"/>
      <x:c r="I6" s="4"/>
      <x:c r="J6" s="4"/>
      <x:c r="K6" s="4"/>
      <x:c r="L6" s="4"/>
      <x:c r="M6" s="4"/>
      <x:c r="N6" s="20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</x:row>
    <x:row r="7">
      <x:c r="A7" s="4" t="str">
        <x:v>USVET_006</x:v>
      </x:c>
      <x:c r="B7" s="4" t="str">
        <x:v>piloto</x:v>
      </x:c>
      <x:c r="C7" s="16"/>
      <x:c r="D7" s="4"/>
      <x:c r="E7" s="4"/>
      <x:c r="F7" s="4"/>
      <x:c r="G7" s="4"/>
      <x:c r="H7" s="18"/>
      <x:c r="I7" s="4"/>
      <x:c r="J7" s="4"/>
      <x:c r="K7" s="4"/>
      <x:c r="L7" s="4"/>
      <x:c r="M7" s="4"/>
      <x:c r="N7" s="20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</x:row>
    <x:row r="8">
      <x:c r="A8" s="4" t="str">
        <x:v>USVET_007</x:v>
      </x:c>
      <x:c r="B8" s="4" t="str">
        <x:v>piloto</x:v>
      </x:c>
      <x:c r="C8" s="16"/>
      <x:c r="D8" s="4"/>
      <x:c r="E8" s="4"/>
      <x:c r="F8" s="4"/>
      <x:c r="G8" s="4"/>
      <x:c r="H8" s="18"/>
      <x:c r="I8" s="4"/>
      <x:c r="J8" s="4"/>
      <x:c r="K8" s="4"/>
      <x:c r="L8" s="4"/>
      <x:c r="M8" s="4"/>
      <x:c r="N8" s="20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</x:row>
    <x:row r="9">
      <x:c r="A9" s="4" t="str">
        <x:v>USVET_008</x:v>
      </x:c>
      <x:c r="B9" s="4" t="str">
        <x:v>piloto</x:v>
      </x:c>
      <x:c r="C9" s="16"/>
      <x:c r="D9" s="4"/>
      <x:c r="E9" s="4"/>
      <x:c r="F9" s="4"/>
      <x:c r="G9" s="4"/>
      <x:c r="H9" s="18"/>
      <x:c r="I9" s="4"/>
      <x:c r="J9" s="4"/>
      <x:c r="K9" s="4"/>
      <x:c r="L9" s="4"/>
      <x:c r="M9" s="4"/>
      <x:c r="N9" s="20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</x:row>
    <x:row r="10">
      <x:c r="A10" s="4" t="str">
        <x:v>USVET_009</x:v>
      </x:c>
      <x:c r="B10" s="4" t="str">
        <x:v>piloto</x:v>
      </x:c>
      <x:c r="C10" s="16"/>
      <x:c r="D10" s="4"/>
      <x:c r="E10" s="4"/>
      <x:c r="F10" s="4"/>
      <x:c r="G10" s="4"/>
      <x:c r="H10" s="18"/>
      <x:c r="I10" s="4"/>
      <x:c r="J10" s="4"/>
      <x:c r="K10" s="4"/>
      <x:c r="L10" s="4"/>
      <x:c r="M10" s="4"/>
      <x:c r="N10" s="20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</x:row>
    <x:row r="11">
      <x:c r="A11" s="4" t="str">
        <x:v>USVET_010</x:v>
      </x:c>
      <x:c r="B11" s="4" t="str">
        <x:v>piloto</x:v>
      </x:c>
      <x:c r="C11" s="16"/>
      <x:c r="D11" s="4"/>
      <x:c r="E11" s="4"/>
      <x:c r="F11" s="4"/>
      <x:c r="G11" s="4"/>
      <x:c r="H11" s="18"/>
      <x:c r="I11" s="4"/>
      <x:c r="J11" s="4"/>
      <x:c r="K11" s="4"/>
      <x:c r="L11" s="4"/>
      <x:c r="M11" s="4"/>
      <x:c r="N11" s="20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</x:row>
    <x:row r="12">
      <x:c r="A12" s="4" t="str">
        <x:v>USVET_011</x:v>
      </x:c>
      <x:c r="B12" s="4" t="str">
        <x:v>piloto</x:v>
      </x:c>
      <x:c r="C12" s="16"/>
      <x:c r="D12" s="4"/>
      <x:c r="E12" s="4"/>
      <x:c r="F12" s="4"/>
      <x:c r="G12" s="4"/>
      <x:c r="H12" s="18"/>
      <x:c r="I12" s="4"/>
      <x:c r="J12" s="4"/>
      <x:c r="K12" s="4"/>
      <x:c r="L12" s="4"/>
      <x:c r="M12" s="4"/>
      <x:c r="N12" s="20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</x:row>
    <x:row r="13">
      <x:c r="A13" s="4" t="str">
        <x:v>USVET_012</x:v>
      </x:c>
      <x:c r="B13" s="4" t="str">
        <x:v>piloto</x:v>
      </x:c>
      <x:c r="C13" s="16"/>
      <x:c r="D13" s="4"/>
      <x:c r="E13" s="4"/>
      <x:c r="F13" s="4"/>
      <x:c r="G13" s="4"/>
      <x:c r="H13" s="18"/>
      <x:c r="I13" s="4"/>
      <x:c r="J13" s="4"/>
      <x:c r="K13" s="4"/>
      <x:c r="L13" s="4"/>
      <x:c r="M13" s="4"/>
      <x:c r="N13" s="20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</x:row>
    <x:row r="14">
      <x:c r="A14" s="4" t="str">
        <x:v>USVET_013</x:v>
      </x:c>
      <x:c r="B14" s="4" t="str">
        <x:v>piloto</x:v>
      </x:c>
      <x:c r="C14" s="16"/>
      <x:c r="D14" s="4"/>
      <x:c r="E14" s="4"/>
      <x:c r="F14" s="4"/>
      <x:c r="G14" s="4"/>
      <x:c r="H14" s="18"/>
      <x:c r="I14" s="4"/>
      <x:c r="J14" s="4"/>
      <x:c r="K14" s="4"/>
      <x:c r="L14" s="4"/>
      <x:c r="M14" s="4"/>
      <x:c r="N14" s="20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</x:row>
    <x:row r="15">
      <x:c r="A15" s="4" t="str">
        <x:v>USVET_014</x:v>
      </x:c>
      <x:c r="B15" s="4" t="str">
        <x:v>piloto</x:v>
      </x:c>
      <x:c r="C15" s="16"/>
      <x:c r="D15" s="4"/>
      <x:c r="E15" s="4"/>
      <x:c r="F15" s="4"/>
      <x:c r="G15" s="4"/>
      <x:c r="H15" s="18"/>
      <x:c r="I15" s="4"/>
      <x:c r="J15" s="4"/>
      <x:c r="K15" s="4"/>
      <x:c r="L15" s="4"/>
      <x:c r="M15" s="4"/>
      <x:c r="N15" s="20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</x:row>
    <x:row r="16">
      <x:c r="A16" s="4" t="str">
        <x:v>USVET_015</x:v>
      </x:c>
      <x:c r="B16" s="4" t="str">
        <x:v>piloto</x:v>
      </x:c>
      <x:c r="C16" s="16"/>
      <x:c r="D16" s="4"/>
      <x:c r="E16" s="4"/>
      <x:c r="F16" s="4"/>
      <x:c r="G16" s="4"/>
      <x:c r="H16" s="18"/>
      <x:c r="I16" s="4"/>
      <x:c r="J16" s="4"/>
      <x:c r="K16" s="4"/>
      <x:c r="L16" s="4"/>
      <x:c r="M16" s="4"/>
      <x:c r="N16" s="20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</x:row>
    <x:row r="17">
      <x:c r="A17" s="4" t="str">
        <x:v>USVET_016</x:v>
      </x:c>
      <x:c r="B17" s="4" t="str">
        <x:v>principal</x:v>
      </x:c>
      <x:c r="C17" s="16"/>
      <x:c r="D17" s="4"/>
      <x:c r="E17" s="4"/>
      <x:c r="F17" s="4"/>
      <x:c r="G17" s="4"/>
      <x:c r="H17" s="18"/>
      <x:c r="I17" s="4"/>
      <x:c r="J17" s="4"/>
      <x:c r="K17" s="4"/>
      <x:c r="L17" s="4"/>
      <x:c r="M17" s="4"/>
      <x:c r="N17" s="20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</x:row>
    <x:row r="18">
      <x:c r="A18" s="4" t="str">
        <x:v>USVET_017</x:v>
      </x:c>
      <x:c r="B18" s="4" t="str">
        <x:v>principal</x:v>
      </x:c>
      <x:c r="C18" s="16"/>
      <x:c r="D18" s="4"/>
      <x:c r="E18" s="4"/>
      <x:c r="F18" s="4"/>
      <x:c r="G18" s="4"/>
      <x:c r="H18" s="18"/>
      <x:c r="I18" s="4"/>
      <x:c r="J18" s="4"/>
      <x:c r="K18" s="4"/>
      <x:c r="L18" s="4"/>
      <x:c r="M18" s="4"/>
      <x:c r="N18" s="20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</x:row>
    <x:row r="19">
      <x:c r="A19" s="4" t="str">
        <x:v>USVET_018</x:v>
      </x:c>
      <x:c r="B19" s="4" t="str">
        <x:v>principal</x:v>
      </x:c>
      <x:c r="C19" s="16"/>
      <x:c r="D19" s="4"/>
      <x:c r="E19" s="4"/>
      <x:c r="F19" s="4"/>
      <x:c r="G19" s="4"/>
      <x:c r="H19" s="18"/>
      <x:c r="I19" s="4"/>
      <x:c r="J19" s="4"/>
      <x:c r="K19" s="4"/>
      <x:c r="L19" s="4"/>
      <x:c r="M19" s="4"/>
      <x:c r="N19" s="20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</x:row>
    <x:row r="20">
      <x:c r="A20" s="4" t="str">
        <x:v>USVET_019</x:v>
      </x:c>
      <x:c r="B20" s="4" t="str">
        <x:v>principal</x:v>
      </x:c>
      <x:c r="C20" s="16"/>
      <x:c r="D20" s="4"/>
      <x:c r="E20" s="4"/>
      <x:c r="F20" s="4"/>
      <x:c r="G20" s="4"/>
      <x:c r="H20" s="18"/>
      <x:c r="I20" s="4"/>
      <x:c r="J20" s="4"/>
      <x:c r="K20" s="4"/>
      <x:c r="L20" s="4"/>
      <x:c r="M20" s="4"/>
      <x:c r="N20" s="20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</x:row>
    <x:row r="21">
      <x:c r="A21" s="4" t="str">
        <x:v>USVET_020</x:v>
      </x:c>
      <x:c r="B21" s="4" t="str">
        <x:v>principal</x:v>
      </x:c>
      <x:c r="C21" s="16"/>
      <x:c r="D21" s="4"/>
      <x:c r="E21" s="4"/>
      <x:c r="F21" s="4"/>
      <x:c r="G21" s="4"/>
      <x:c r="H21" s="18"/>
      <x:c r="I21" s="4"/>
      <x:c r="J21" s="4"/>
      <x:c r="K21" s="4"/>
      <x:c r="L21" s="4"/>
      <x:c r="M21" s="4"/>
      <x:c r="N21" s="20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</x:row>
    <x:row r="22">
      <x:c r="A22" s="4" t="str">
        <x:v>USVET_021</x:v>
      </x:c>
      <x:c r="B22" s="4" t="str">
        <x:v>principal</x:v>
      </x:c>
      <x:c r="C22" s="16"/>
      <x:c r="D22" s="4"/>
      <x:c r="E22" s="4"/>
      <x:c r="F22" s="4"/>
      <x:c r="G22" s="4"/>
      <x:c r="H22" s="18"/>
      <x:c r="I22" s="4"/>
      <x:c r="J22" s="4"/>
      <x:c r="K22" s="4"/>
      <x:c r="L22" s="4"/>
      <x:c r="M22" s="4"/>
      <x:c r="N22" s="20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</x:row>
    <x:row r="23">
      <x:c r="A23" s="4" t="str">
        <x:v>USVET_022</x:v>
      </x:c>
      <x:c r="B23" s="4" t="str">
        <x:v>principal</x:v>
      </x:c>
      <x:c r="C23" s="16"/>
      <x:c r="D23" s="4"/>
      <x:c r="E23" s="4"/>
      <x:c r="F23" s="4"/>
      <x:c r="G23" s="4"/>
      <x:c r="H23" s="18"/>
      <x:c r="I23" s="4"/>
      <x:c r="J23" s="4"/>
      <x:c r="K23" s="4"/>
      <x:c r="L23" s="4"/>
      <x:c r="M23" s="4"/>
      <x:c r="N23" s="20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</x:row>
    <x:row r="24">
      <x:c r="A24" s="4" t="str">
        <x:v>USVET_023</x:v>
      </x:c>
      <x:c r="B24" s="4" t="str">
        <x:v>principal</x:v>
      </x:c>
      <x:c r="C24" s="16"/>
      <x:c r="D24" s="4"/>
      <x:c r="E24" s="4"/>
      <x:c r="F24" s="4"/>
      <x:c r="G24" s="4"/>
      <x:c r="H24" s="18"/>
      <x:c r="I24" s="4"/>
      <x:c r="J24" s="4"/>
      <x:c r="K24" s="4"/>
      <x:c r="L24" s="4"/>
      <x:c r="M24" s="4"/>
      <x:c r="N24" s="20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</x:row>
    <x:row r="25">
      <x:c r="A25" s="4" t="str">
        <x:v>USVET_024</x:v>
      </x:c>
      <x:c r="B25" s="4" t="str">
        <x:v>principal</x:v>
      </x:c>
      <x:c r="C25" s="16"/>
      <x:c r="D25" s="4"/>
      <x:c r="E25" s="4"/>
      <x:c r="F25" s="4"/>
      <x:c r="G25" s="4"/>
      <x:c r="H25" s="18"/>
      <x:c r="I25" s="4"/>
      <x:c r="J25" s="4"/>
      <x:c r="K25" s="4"/>
      <x:c r="L25" s="4"/>
      <x:c r="M25" s="4"/>
      <x:c r="N25" s="20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</x:row>
    <x:row r="26">
      <x:c r="A26" s="4" t="str">
        <x:v>USVET_025</x:v>
      </x:c>
      <x:c r="B26" s="4" t="str">
        <x:v>principal</x:v>
      </x:c>
      <x:c r="C26" s="16"/>
      <x:c r="D26" s="4"/>
      <x:c r="E26" s="4"/>
      <x:c r="F26" s="4"/>
      <x:c r="G26" s="4"/>
      <x:c r="H26" s="18"/>
      <x:c r="I26" s="4"/>
      <x:c r="J26" s="4"/>
      <x:c r="K26" s="4"/>
      <x:c r="L26" s="4"/>
      <x:c r="M26" s="4"/>
      <x:c r="N26" s="20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</x:row>
    <x:row r="27">
      <x:c r="A27" s="4" t="str">
        <x:v>USVET_026</x:v>
      </x:c>
      <x:c r="B27" s="4" t="str">
        <x:v>principal</x:v>
      </x:c>
      <x:c r="C27" s="16"/>
      <x:c r="D27" s="4"/>
      <x:c r="E27" s="4"/>
      <x:c r="F27" s="4"/>
      <x:c r="G27" s="4"/>
      <x:c r="H27" s="18"/>
      <x:c r="I27" s="4"/>
      <x:c r="J27" s="4"/>
      <x:c r="K27" s="4"/>
      <x:c r="L27" s="4"/>
      <x:c r="M27" s="4"/>
      <x:c r="N27" s="20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</x:row>
    <x:row r="28">
      <x:c r="A28" s="4" t="str">
        <x:v>USVET_027</x:v>
      </x:c>
      <x:c r="B28" s="4" t="str">
        <x:v>principal</x:v>
      </x:c>
      <x:c r="C28" s="16"/>
      <x:c r="D28" s="4"/>
      <x:c r="E28" s="4"/>
      <x:c r="F28" s="4"/>
      <x:c r="G28" s="4"/>
      <x:c r="H28" s="18"/>
      <x:c r="I28" s="4"/>
      <x:c r="J28" s="4"/>
      <x:c r="K28" s="4"/>
      <x:c r="L28" s="4"/>
      <x:c r="M28" s="4"/>
      <x:c r="N28" s="20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</x:row>
    <x:row r="29">
      <x:c r="A29" s="4" t="str">
        <x:v>USVET_028</x:v>
      </x:c>
      <x:c r="B29" s="4" t="str">
        <x:v>principal</x:v>
      </x:c>
      <x:c r="C29" s="16"/>
      <x:c r="D29" s="4"/>
      <x:c r="E29" s="4"/>
      <x:c r="F29" s="4"/>
      <x:c r="G29" s="4"/>
      <x:c r="H29" s="18"/>
      <x:c r="I29" s="4"/>
      <x:c r="J29" s="4"/>
      <x:c r="K29" s="4"/>
      <x:c r="L29" s="4"/>
      <x:c r="M29" s="4"/>
      <x:c r="N29" s="20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</x:row>
    <x:row r="30">
      <x:c r="A30" s="4" t="str">
        <x:v>USVET_029</x:v>
      </x:c>
      <x:c r="B30" s="4" t="str">
        <x:v>principal</x:v>
      </x:c>
      <x:c r="C30" s="16"/>
      <x:c r="D30" s="4"/>
      <x:c r="E30" s="4"/>
      <x:c r="F30" s="4"/>
      <x:c r="G30" s="4"/>
      <x:c r="H30" s="18"/>
      <x:c r="I30" s="4"/>
      <x:c r="J30" s="4"/>
      <x:c r="K30" s="4"/>
      <x:c r="L30" s="4"/>
      <x:c r="M30" s="4"/>
      <x:c r="N30" s="20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</x:row>
    <x:row r="31">
      <x:c r="A31" s="4" t="str">
        <x:v>USVET_030</x:v>
      </x:c>
      <x:c r="B31" s="4" t="str">
        <x:v>principal</x:v>
      </x:c>
      <x:c r="C31" s="16"/>
      <x:c r="D31" s="4"/>
      <x:c r="E31" s="4"/>
      <x:c r="F31" s="4"/>
      <x:c r="G31" s="4"/>
      <x:c r="H31" s="18"/>
      <x:c r="I31" s="4"/>
      <x:c r="J31" s="4"/>
      <x:c r="K31" s="4"/>
      <x:c r="L31" s="4"/>
      <x:c r="M31" s="4"/>
      <x:c r="N31" s="20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</x:row>
    <x:row r="32">
      <x:c r="A32" s="4" t="str">
        <x:v>USVET_031</x:v>
      </x:c>
      <x:c r="B32" s="4" t="str">
        <x:v>principal</x:v>
      </x:c>
      <x:c r="C32" s="16"/>
      <x:c r="D32" s="4"/>
      <x:c r="E32" s="4"/>
      <x:c r="F32" s="4"/>
      <x:c r="G32" s="4"/>
      <x:c r="H32" s="18"/>
      <x:c r="I32" s="4"/>
      <x:c r="J32" s="4"/>
      <x:c r="K32" s="4"/>
      <x:c r="L32" s="4"/>
      <x:c r="M32" s="4"/>
      <x:c r="N32" s="20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</x:row>
    <x:row r="33">
      <x:c r="A33" s="4" t="str">
        <x:v>USVET_032</x:v>
      </x:c>
      <x:c r="B33" s="4" t="str">
        <x:v>principal</x:v>
      </x:c>
      <x:c r="C33" s="16"/>
      <x:c r="D33" s="4"/>
      <x:c r="E33" s="4"/>
      <x:c r="F33" s="4"/>
      <x:c r="G33" s="4"/>
      <x:c r="H33" s="18"/>
      <x:c r="I33" s="4"/>
      <x:c r="J33" s="4"/>
      <x:c r="K33" s="4"/>
      <x:c r="L33" s="4"/>
      <x:c r="M33" s="4"/>
      <x:c r="N33" s="20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</x:row>
    <x:row r="34">
      <x:c r="A34" s="4" t="str">
        <x:v>USVET_033</x:v>
      </x:c>
      <x:c r="B34" s="4" t="str">
        <x:v>principal</x:v>
      </x:c>
      <x:c r="C34" s="16"/>
      <x:c r="D34" s="4"/>
      <x:c r="E34" s="4"/>
      <x:c r="F34" s="4"/>
      <x:c r="G34" s="4"/>
      <x:c r="H34" s="18"/>
      <x:c r="I34" s="4"/>
      <x:c r="J34" s="4"/>
      <x:c r="K34" s="4"/>
      <x:c r="L34" s="4"/>
      <x:c r="M34" s="4"/>
      <x:c r="N34" s="20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</x:row>
    <x:row r="35">
      <x:c r="A35" s="4" t="str">
        <x:v>USVET_034</x:v>
      </x:c>
      <x:c r="B35" s="4" t="str">
        <x:v>principal</x:v>
      </x:c>
      <x:c r="C35" s="16"/>
      <x:c r="D35" s="4"/>
      <x:c r="E35" s="4"/>
      <x:c r="F35" s="4"/>
      <x:c r="G35" s="4"/>
      <x:c r="H35" s="18"/>
      <x:c r="I35" s="4"/>
      <x:c r="J35" s="4"/>
      <x:c r="K35" s="4"/>
      <x:c r="L35" s="4"/>
      <x:c r="M35" s="4"/>
      <x:c r="N35" s="20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</x:row>
    <x:row r="36">
      <x:c r="A36" s="4" t="str">
        <x:v>USVET_035</x:v>
      </x:c>
      <x:c r="B36" s="4" t="str">
        <x:v>principal</x:v>
      </x:c>
      <x:c r="C36" s="16"/>
      <x:c r="D36" s="4"/>
      <x:c r="E36" s="4"/>
      <x:c r="F36" s="4"/>
      <x:c r="G36" s="4"/>
      <x:c r="H36" s="18"/>
      <x:c r="I36" s="4"/>
      <x:c r="J36" s="4"/>
      <x:c r="K36" s="4"/>
      <x:c r="L36" s="4"/>
      <x:c r="M36" s="4"/>
      <x:c r="N36" s="20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</x:row>
    <x:row r="37">
      <x:c r="A37" s="4" t="str">
        <x:v>USVET_036</x:v>
      </x:c>
      <x:c r="B37" s="4" t="str">
        <x:v>principal</x:v>
      </x:c>
      <x:c r="C37" s="16"/>
      <x:c r="D37" s="4"/>
      <x:c r="E37" s="4"/>
      <x:c r="F37" s="4"/>
      <x:c r="G37" s="4"/>
      <x:c r="H37" s="18"/>
      <x:c r="I37" s="4"/>
      <x:c r="J37" s="4"/>
      <x:c r="K37" s="4"/>
      <x:c r="L37" s="4"/>
      <x:c r="M37" s="4"/>
      <x:c r="N37" s="20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</x:row>
    <x:row r="38">
      <x:c r="A38" s="4" t="str">
        <x:v>USVET_037</x:v>
      </x:c>
      <x:c r="B38" s="4" t="str">
        <x:v>principal</x:v>
      </x:c>
      <x:c r="C38" s="16"/>
      <x:c r="D38" s="4"/>
      <x:c r="E38" s="4"/>
      <x:c r="F38" s="4"/>
      <x:c r="G38" s="4"/>
      <x:c r="H38" s="18"/>
      <x:c r="I38" s="4"/>
      <x:c r="J38" s="4"/>
      <x:c r="K38" s="4"/>
      <x:c r="L38" s="4"/>
      <x:c r="M38" s="4"/>
      <x:c r="N38" s="20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</x:row>
    <x:row r="39">
      <x:c r="A39" s="4" t="str">
        <x:v>USVET_038</x:v>
      </x:c>
      <x:c r="B39" s="4" t="str">
        <x:v>principal</x:v>
      </x:c>
      <x:c r="C39" s="16"/>
      <x:c r="D39" s="4"/>
      <x:c r="E39" s="4"/>
      <x:c r="F39" s="4"/>
      <x:c r="G39" s="4"/>
      <x:c r="H39" s="18"/>
      <x:c r="I39" s="4"/>
      <x:c r="J39" s="4"/>
      <x:c r="K39" s="4"/>
      <x:c r="L39" s="4"/>
      <x:c r="M39" s="4"/>
      <x:c r="N39" s="20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</x:row>
    <x:row r="40">
      <x:c r="A40" s="4" t="str">
        <x:v>USVET_039</x:v>
      </x:c>
      <x:c r="B40" s="4" t="str">
        <x:v>principal</x:v>
      </x:c>
      <x:c r="C40" s="16"/>
      <x:c r="D40" s="4"/>
      <x:c r="E40" s="4"/>
      <x:c r="F40" s="4"/>
      <x:c r="G40" s="4"/>
      <x:c r="H40" s="18"/>
      <x:c r="I40" s="4"/>
      <x:c r="J40" s="4"/>
      <x:c r="K40" s="4"/>
      <x:c r="L40" s="4"/>
      <x:c r="M40" s="4"/>
      <x:c r="N40" s="20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</x:row>
    <x:row r="41">
      <x:c r="A41" s="4" t="str">
        <x:v>USVET_040</x:v>
      </x:c>
      <x:c r="B41" s="4" t="str">
        <x:v>principal</x:v>
      </x:c>
      <x:c r="C41" s="16"/>
      <x:c r="D41" s="4"/>
      <x:c r="E41" s="4"/>
      <x:c r="F41" s="4"/>
      <x:c r="G41" s="4"/>
      <x:c r="H41" s="18"/>
      <x:c r="I41" s="4"/>
      <x:c r="J41" s="4"/>
      <x:c r="K41" s="4"/>
      <x:c r="L41" s="4"/>
      <x:c r="M41" s="4"/>
      <x:c r="N41" s="20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</x:row>
    <x:row r="42">
      <x:c r="A42" s="4" t="str">
        <x:v>USVET_041</x:v>
      </x:c>
      <x:c r="B42" s="4" t="str">
        <x:v>principal</x:v>
      </x:c>
      <x:c r="C42" s="16"/>
      <x:c r="D42" s="4"/>
      <x:c r="E42" s="4"/>
      <x:c r="F42" s="4"/>
      <x:c r="G42" s="4"/>
      <x:c r="H42" s="18"/>
      <x:c r="I42" s="4"/>
      <x:c r="J42" s="4"/>
      <x:c r="K42" s="4"/>
      <x:c r="L42" s="4"/>
      <x:c r="M42" s="4"/>
      <x:c r="N42" s="20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</x:row>
    <x:row r="43">
      <x:c r="A43" s="4" t="str">
        <x:v>USVET_042</x:v>
      </x:c>
      <x:c r="B43" s="4" t="str">
        <x:v>principal</x:v>
      </x:c>
      <x:c r="C43" s="16"/>
      <x:c r="D43" s="4"/>
      <x:c r="E43" s="4"/>
      <x:c r="F43" s="4"/>
      <x:c r="G43" s="4"/>
      <x:c r="H43" s="18"/>
      <x:c r="I43" s="4"/>
      <x:c r="J43" s="4"/>
      <x:c r="K43" s="4"/>
      <x:c r="L43" s="4"/>
      <x:c r="M43" s="4"/>
      <x:c r="N43" s="20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</x:row>
    <x:row r="44">
      <x:c r="A44" s="4" t="str">
        <x:v>USVET_043</x:v>
      </x:c>
      <x:c r="B44" s="4" t="str">
        <x:v>principal</x:v>
      </x:c>
      <x:c r="C44" s="16"/>
      <x:c r="D44" s="4"/>
      <x:c r="E44" s="4"/>
      <x:c r="F44" s="4"/>
      <x:c r="G44" s="4"/>
      <x:c r="H44" s="18"/>
      <x:c r="I44" s="4"/>
      <x:c r="J44" s="4"/>
      <x:c r="K44" s="4"/>
      <x:c r="L44" s="4"/>
      <x:c r="M44" s="4"/>
      <x:c r="N44" s="20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</x:row>
    <x:row r="45">
      <x:c r="A45" s="4" t="str">
        <x:v>USVET_044</x:v>
      </x:c>
      <x:c r="B45" s="4" t="str">
        <x:v>principal</x:v>
      </x:c>
      <x:c r="C45" s="16"/>
      <x:c r="D45" s="4"/>
      <x:c r="E45" s="4"/>
      <x:c r="F45" s="4"/>
      <x:c r="G45" s="4"/>
      <x:c r="H45" s="18"/>
      <x:c r="I45" s="4"/>
      <x:c r="J45" s="4"/>
      <x:c r="K45" s="4"/>
      <x:c r="L45" s="4"/>
      <x:c r="M45" s="4"/>
      <x:c r="N45" s="20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</x:row>
    <x:row r="46">
      <x:c r="A46" s="4" t="str">
        <x:v>USVET_045</x:v>
      </x:c>
      <x:c r="B46" s="4" t="str">
        <x:v>principal</x:v>
      </x:c>
      <x:c r="C46" s="16"/>
      <x:c r="D46" s="4"/>
      <x:c r="E46" s="4"/>
      <x:c r="F46" s="4"/>
      <x:c r="G46" s="4"/>
      <x:c r="H46" s="18"/>
      <x:c r="I46" s="4"/>
      <x:c r="J46" s="4"/>
      <x:c r="K46" s="4"/>
      <x:c r="L46" s="4"/>
      <x:c r="M46" s="4"/>
      <x:c r="N46" s="20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</x:row>
    <x:row r="47">
      <x:c r="A47" s="4" t="str">
        <x:v>USVET_046</x:v>
      </x:c>
      <x:c r="B47" s="4" t="str">
        <x:v>principal</x:v>
      </x:c>
      <x:c r="C47" s="16"/>
      <x:c r="D47" s="4"/>
      <x:c r="E47" s="4"/>
      <x:c r="F47" s="4"/>
      <x:c r="G47" s="4"/>
      <x:c r="H47" s="18"/>
      <x:c r="I47" s="4"/>
      <x:c r="J47" s="4"/>
      <x:c r="K47" s="4"/>
      <x:c r="L47" s="4"/>
      <x:c r="M47" s="4"/>
      <x:c r="N47" s="20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</x:row>
    <x:row r="48">
      <x:c r="A48" s="4" t="str">
        <x:v>USVET_047</x:v>
      </x:c>
      <x:c r="B48" s="4" t="str">
        <x:v>principal</x:v>
      </x:c>
      <x:c r="C48" s="16"/>
      <x:c r="D48" s="4"/>
      <x:c r="E48" s="4"/>
      <x:c r="F48" s="4"/>
      <x:c r="G48" s="4"/>
      <x:c r="H48" s="18"/>
      <x:c r="I48" s="4"/>
      <x:c r="J48" s="4"/>
      <x:c r="K48" s="4"/>
      <x:c r="L48" s="4"/>
      <x:c r="M48" s="4"/>
      <x:c r="N48" s="20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</x:row>
    <x:row r="49">
      <x:c r="A49" s="4" t="str">
        <x:v>USVET_048</x:v>
      </x:c>
      <x:c r="B49" s="4" t="str">
        <x:v>principal</x:v>
      </x:c>
      <x:c r="C49" s="16"/>
      <x:c r="D49" s="4"/>
      <x:c r="E49" s="4"/>
      <x:c r="F49" s="4"/>
      <x:c r="G49" s="4"/>
      <x:c r="H49" s="18"/>
      <x:c r="I49" s="4"/>
      <x:c r="J49" s="4"/>
      <x:c r="K49" s="4"/>
      <x:c r="L49" s="4"/>
      <x:c r="M49" s="4"/>
      <x:c r="N49" s="20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</x:row>
    <x:row r="50">
      <x:c r="A50" s="4" t="str">
        <x:v>USVET_049</x:v>
      </x:c>
      <x:c r="B50" s="4" t="str">
        <x:v>principal</x:v>
      </x:c>
      <x:c r="C50" s="16"/>
      <x:c r="D50" s="4"/>
      <x:c r="E50" s="4"/>
      <x:c r="F50" s="4"/>
      <x:c r="G50" s="4"/>
      <x:c r="H50" s="18"/>
      <x:c r="I50" s="4"/>
      <x:c r="J50" s="4"/>
      <x:c r="K50" s="4"/>
      <x:c r="L50" s="4"/>
      <x:c r="M50" s="4"/>
      <x:c r="N50" s="20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</x:row>
    <x:row r="51">
      <x:c r="A51" s="4" t="str">
        <x:v>USVET_050</x:v>
      </x:c>
      <x:c r="B51" s="4" t="str">
        <x:v>principal</x:v>
      </x:c>
      <x:c r="C51" s="16"/>
      <x:c r="D51" s="4"/>
      <x:c r="E51" s="4"/>
      <x:c r="F51" s="4"/>
      <x:c r="G51" s="4"/>
      <x:c r="H51" s="18"/>
      <x:c r="I51" s="4"/>
      <x:c r="J51" s="4"/>
      <x:c r="K51" s="4"/>
      <x:c r="L51" s="4"/>
      <x:c r="M51" s="4"/>
      <x:c r="N51" s="20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</x:row>
    <x:row r="52">
      <x:c r="A52" s="4" t="str">
        <x:v>USVET_051</x:v>
      </x:c>
      <x:c r="B52" s="4" t="str">
        <x:v>principal</x:v>
      </x:c>
      <x:c r="C52" s="16"/>
      <x:c r="D52" s="4"/>
      <x:c r="E52" s="4"/>
      <x:c r="F52" s="4"/>
      <x:c r="G52" s="4"/>
      <x:c r="H52" s="18"/>
      <x:c r="I52" s="4"/>
      <x:c r="J52" s="4"/>
      <x:c r="K52" s="4"/>
      <x:c r="L52" s="4"/>
      <x:c r="M52" s="4"/>
      <x:c r="N52" s="20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</x:row>
    <x:row r="53">
      <x:c r="A53" s="4" t="str">
        <x:v>USVET_052</x:v>
      </x:c>
      <x:c r="B53" s="4" t="str">
        <x:v>principal</x:v>
      </x:c>
      <x:c r="C53" s="16"/>
      <x:c r="D53" s="4"/>
      <x:c r="E53" s="4"/>
      <x:c r="F53" s="4"/>
      <x:c r="G53" s="4"/>
      <x:c r="H53" s="18"/>
      <x:c r="I53" s="4"/>
      <x:c r="J53" s="4"/>
      <x:c r="K53" s="4"/>
      <x:c r="L53" s="4"/>
      <x:c r="M53" s="4"/>
      <x:c r="N53" s="20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</x:row>
    <x:row r="54">
      <x:c r="A54" s="4" t="str">
        <x:v>USVET_053</x:v>
      </x:c>
      <x:c r="B54" s="4" t="str">
        <x:v>principal</x:v>
      </x:c>
      <x:c r="C54" s="16"/>
      <x:c r="D54" s="4"/>
      <x:c r="E54" s="4"/>
      <x:c r="F54" s="4"/>
      <x:c r="G54" s="4"/>
      <x:c r="H54" s="18"/>
      <x:c r="I54" s="4"/>
      <x:c r="J54" s="4"/>
      <x:c r="K54" s="4"/>
      <x:c r="L54" s="4"/>
      <x:c r="M54" s="4"/>
      <x:c r="N54" s="20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</x:row>
    <x:row r="55">
      <x:c r="A55" s="4" t="str">
        <x:v>USVET_054</x:v>
      </x:c>
      <x:c r="B55" s="4" t="str">
        <x:v>principal</x:v>
      </x:c>
      <x:c r="C55" s="16"/>
      <x:c r="D55" s="4"/>
      <x:c r="E55" s="4"/>
      <x:c r="F55" s="4"/>
      <x:c r="G55" s="4"/>
      <x:c r="H55" s="18"/>
      <x:c r="I55" s="4"/>
      <x:c r="J55" s="4"/>
      <x:c r="K55" s="4"/>
      <x:c r="L55" s="4"/>
      <x:c r="M55" s="4"/>
      <x:c r="N55" s="20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</x:row>
    <x:row r="56">
      <x:c r="A56" s="4" t="str">
        <x:v>USVET_055</x:v>
      </x:c>
      <x:c r="B56" s="4" t="str">
        <x:v>principal</x:v>
      </x:c>
      <x:c r="C56" s="16"/>
      <x:c r="D56" s="4"/>
      <x:c r="E56" s="4"/>
      <x:c r="F56" s="4"/>
      <x:c r="G56" s="4"/>
      <x:c r="H56" s="18"/>
      <x:c r="I56" s="4"/>
      <x:c r="J56" s="4"/>
      <x:c r="K56" s="4"/>
      <x:c r="L56" s="4"/>
      <x:c r="M56" s="4"/>
      <x:c r="N56" s="20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</x:row>
    <x:row r="57">
      <x:c r="A57" s="4" t="str">
        <x:v>USVET_056</x:v>
      </x:c>
      <x:c r="B57" s="4" t="str">
        <x:v>principal</x:v>
      </x:c>
      <x:c r="C57" s="16"/>
      <x:c r="D57" s="4"/>
      <x:c r="E57" s="4"/>
      <x:c r="F57" s="4"/>
      <x:c r="G57" s="4"/>
      <x:c r="H57" s="18"/>
      <x:c r="I57" s="4"/>
      <x:c r="J57" s="4"/>
      <x:c r="K57" s="4"/>
      <x:c r="L57" s="4"/>
      <x:c r="M57" s="4"/>
      <x:c r="N57" s="20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</x:row>
    <x:row r="58">
      <x:c r="A58" s="4" t="str">
        <x:v>USVET_057</x:v>
      </x:c>
      <x:c r="B58" s="4" t="str">
        <x:v>principal</x:v>
      </x:c>
      <x:c r="C58" s="16"/>
      <x:c r="D58" s="4"/>
      <x:c r="E58" s="4"/>
      <x:c r="F58" s="4"/>
      <x:c r="G58" s="4"/>
      <x:c r="H58" s="18"/>
      <x:c r="I58" s="4"/>
      <x:c r="J58" s="4"/>
      <x:c r="K58" s="4"/>
      <x:c r="L58" s="4"/>
      <x:c r="M58" s="4"/>
      <x:c r="N58" s="20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</x:row>
    <x:row r="59">
      <x:c r="A59" s="4" t="str">
        <x:v>USVET_058</x:v>
      </x:c>
      <x:c r="B59" s="4" t="str">
        <x:v>principal</x:v>
      </x:c>
      <x:c r="C59" s="16"/>
      <x:c r="D59" s="4"/>
      <x:c r="E59" s="4"/>
      <x:c r="F59" s="4"/>
      <x:c r="G59" s="4"/>
      <x:c r="H59" s="18"/>
      <x:c r="I59" s="4"/>
      <x:c r="J59" s="4"/>
      <x:c r="K59" s="4"/>
      <x:c r="L59" s="4"/>
      <x:c r="M59" s="4"/>
      <x:c r="N59" s="20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</x:row>
    <x:row r="60">
      <x:c r="A60" s="4" t="str">
        <x:v>USVET_059</x:v>
      </x:c>
      <x:c r="B60" s="4" t="str">
        <x:v>principal</x:v>
      </x:c>
      <x:c r="C60" s="16"/>
      <x:c r="D60" s="4"/>
      <x:c r="E60" s="4"/>
      <x:c r="F60" s="4"/>
      <x:c r="G60" s="4"/>
      <x:c r="H60" s="18"/>
      <x:c r="I60" s="4"/>
      <x:c r="J60" s="4"/>
      <x:c r="K60" s="4"/>
      <x:c r="L60" s="4"/>
      <x:c r="M60" s="4"/>
      <x:c r="N60" s="20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</x:row>
    <x:row r="61">
      <x:c r="A61" s="4" t="str">
        <x:v>USVET_060</x:v>
      </x:c>
      <x:c r="B61" s="4" t="str">
        <x:v>principal</x:v>
      </x:c>
      <x:c r="C61" s="16"/>
      <x:c r="D61" s="4"/>
      <x:c r="E61" s="4"/>
      <x:c r="F61" s="4"/>
      <x:c r="G61" s="4"/>
      <x:c r="H61" s="18"/>
      <x:c r="I61" s="4"/>
      <x:c r="J61" s="4"/>
      <x:c r="K61" s="4"/>
      <x:c r="L61" s="4"/>
      <x:c r="M61" s="4"/>
      <x:c r="N61" s="20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</x:row>
    <x:row r="62">
      <x:c r="A62" s="4" t="str">
        <x:v>USVET_061</x:v>
      </x:c>
      <x:c r="B62" s="4" t="str">
        <x:v>principal</x:v>
      </x:c>
      <x:c r="C62" s="16"/>
      <x:c r="D62" s="4"/>
      <x:c r="E62" s="4"/>
      <x:c r="F62" s="4"/>
      <x:c r="G62" s="4"/>
      <x:c r="H62" s="18"/>
      <x:c r="I62" s="4"/>
      <x:c r="J62" s="4"/>
      <x:c r="K62" s="4"/>
      <x:c r="L62" s="4"/>
      <x:c r="M62" s="4"/>
      <x:c r="N62" s="20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</x:row>
    <x:row r="63">
      <x:c r="A63" s="4" t="str">
        <x:v>USVET_062</x:v>
      </x:c>
      <x:c r="B63" s="4" t="str">
        <x:v>principal</x:v>
      </x:c>
      <x:c r="C63" s="16"/>
      <x:c r="D63" s="4"/>
      <x:c r="E63" s="4"/>
      <x:c r="F63" s="4"/>
      <x:c r="G63" s="4"/>
      <x:c r="H63" s="18"/>
      <x:c r="I63" s="4"/>
      <x:c r="J63" s="4"/>
      <x:c r="K63" s="4"/>
      <x:c r="L63" s="4"/>
      <x:c r="M63" s="4"/>
      <x:c r="N63" s="20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</x:row>
    <x:row r="64">
      <x:c r="A64" s="4" t="str">
        <x:v>USVET_063</x:v>
      </x:c>
      <x:c r="B64" s="4" t="str">
        <x:v>principal</x:v>
      </x:c>
      <x:c r="C64" s="16"/>
      <x:c r="D64" s="4"/>
      <x:c r="E64" s="4"/>
      <x:c r="F64" s="4"/>
      <x:c r="G64" s="4"/>
      <x:c r="H64" s="18"/>
      <x:c r="I64" s="4"/>
      <x:c r="J64" s="4"/>
      <x:c r="K64" s="4"/>
      <x:c r="L64" s="4"/>
      <x:c r="M64" s="4"/>
      <x:c r="N64" s="20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</x:row>
    <x:row r="65">
      <x:c r="A65" s="4" t="str">
        <x:v>USVET_064</x:v>
      </x:c>
      <x:c r="B65" s="4" t="str">
        <x:v>principal</x:v>
      </x:c>
      <x:c r="C65" s="16"/>
      <x:c r="D65" s="4"/>
      <x:c r="E65" s="4"/>
      <x:c r="F65" s="4"/>
      <x:c r="G65" s="4"/>
      <x:c r="H65" s="18"/>
      <x:c r="I65" s="4"/>
      <x:c r="J65" s="4"/>
      <x:c r="K65" s="4"/>
      <x:c r="L65" s="4"/>
      <x:c r="M65" s="4"/>
      <x:c r="N65" s="20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</x:row>
    <x:row r="66">
      <x:c r="A66" s="4" t="str">
        <x:v>USVET_065</x:v>
      </x:c>
      <x:c r="B66" s="4" t="str">
        <x:v>principal</x:v>
      </x:c>
      <x:c r="C66" s="16"/>
      <x:c r="D66" s="4"/>
      <x:c r="E66" s="4"/>
      <x:c r="F66" s="4"/>
      <x:c r="G66" s="4"/>
      <x:c r="H66" s="18"/>
      <x:c r="I66" s="4"/>
      <x:c r="J66" s="4"/>
      <x:c r="K66" s="4"/>
      <x:c r="L66" s="4"/>
      <x:c r="M66" s="4"/>
      <x:c r="N66" s="20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</x:row>
    <x:row r="67">
      <x:c r="A67" s="4" t="str">
        <x:v>USVET_066</x:v>
      </x:c>
      <x:c r="B67" s="4" t="str">
        <x:v>principal</x:v>
      </x:c>
      <x:c r="C67" s="16"/>
      <x:c r="D67" s="4"/>
      <x:c r="E67" s="4"/>
      <x:c r="F67" s="4"/>
      <x:c r="G67" s="4"/>
      <x:c r="H67" s="18"/>
      <x:c r="I67" s="4"/>
      <x:c r="J67" s="4"/>
      <x:c r="K67" s="4"/>
      <x:c r="L67" s="4"/>
      <x:c r="M67" s="4"/>
      <x:c r="N67" s="20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</x:row>
    <x:row r="68">
      <x:c r="A68" s="4" t="str">
        <x:v>USVET_067</x:v>
      </x:c>
      <x:c r="B68" s="4" t="str">
        <x:v>principal</x:v>
      </x:c>
      <x:c r="C68" s="16"/>
      <x:c r="D68" s="4"/>
      <x:c r="E68" s="4"/>
      <x:c r="F68" s="4"/>
      <x:c r="G68" s="4"/>
      <x:c r="H68" s="18"/>
      <x:c r="I68" s="4"/>
      <x:c r="J68" s="4"/>
      <x:c r="K68" s="4"/>
      <x:c r="L68" s="4"/>
      <x:c r="M68" s="4"/>
      <x:c r="N68" s="20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</x:row>
    <x:row r="69">
      <x:c r="A69" s="4" t="str">
        <x:v>USVET_068</x:v>
      </x:c>
      <x:c r="B69" s="4" t="str">
        <x:v>principal</x:v>
      </x:c>
      <x:c r="C69" s="16"/>
      <x:c r="D69" s="4"/>
      <x:c r="E69" s="4"/>
      <x:c r="F69" s="4"/>
      <x:c r="G69" s="4"/>
      <x:c r="H69" s="18"/>
      <x:c r="I69" s="4"/>
      <x:c r="J69" s="4"/>
      <x:c r="K69" s="4"/>
      <x:c r="L69" s="4"/>
      <x:c r="M69" s="4"/>
      <x:c r="N69" s="20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</x:row>
    <x:row r="70">
      <x:c r="A70" s="4" t="str">
        <x:v>USVET_069</x:v>
      </x:c>
      <x:c r="B70" s="4" t="str">
        <x:v>principal</x:v>
      </x:c>
      <x:c r="C70" s="16"/>
      <x:c r="D70" s="4"/>
      <x:c r="E70" s="4"/>
      <x:c r="F70" s="4"/>
      <x:c r="G70" s="4"/>
      <x:c r="H70" s="18"/>
      <x:c r="I70" s="4"/>
      <x:c r="J70" s="4"/>
      <x:c r="K70" s="4"/>
      <x:c r="L70" s="4"/>
      <x:c r="M70" s="4"/>
      <x:c r="N70" s="20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</x:row>
    <x:row r="71">
      <x:c r="A71" s="4" t="str">
        <x:v>USVET_070</x:v>
      </x:c>
      <x:c r="B71" s="4" t="str">
        <x:v>principal</x:v>
      </x:c>
      <x:c r="C71" s="16"/>
      <x:c r="D71" s="4"/>
      <x:c r="E71" s="4"/>
      <x:c r="F71" s="4"/>
      <x:c r="G71" s="4"/>
      <x:c r="H71" s="18"/>
      <x:c r="I71" s="4"/>
      <x:c r="J71" s="4"/>
      <x:c r="K71" s="4"/>
      <x:c r="L71" s="4"/>
      <x:c r="M71" s="4"/>
      <x:c r="N71" s="20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</x:row>
    <x:row r="72">
      <x:c r="A72" s="4" t="str">
        <x:v>USVET_071</x:v>
      </x:c>
      <x:c r="B72" s="4" t="str">
        <x:v>principal</x:v>
      </x:c>
      <x:c r="C72" s="16"/>
      <x:c r="D72" s="4"/>
      <x:c r="E72" s="4"/>
      <x:c r="F72" s="4"/>
      <x:c r="G72" s="4"/>
      <x:c r="H72" s="18"/>
      <x:c r="I72" s="4"/>
      <x:c r="J72" s="4"/>
      <x:c r="K72" s="4"/>
      <x:c r="L72" s="4"/>
      <x:c r="M72" s="4"/>
      <x:c r="N72" s="20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</x:row>
    <x:row r="73">
      <x:c r="A73" s="4" t="str">
        <x:v>USVET_072</x:v>
      </x:c>
      <x:c r="B73" s="4" t="str">
        <x:v>principal</x:v>
      </x:c>
      <x:c r="C73" s="16"/>
      <x:c r="D73" s="4"/>
      <x:c r="E73" s="4"/>
      <x:c r="F73" s="4"/>
      <x:c r="G73" s="4"/>
      <x:c r="H73" s="18"/>
      <x:c r="I73" s="4"/>
      <x:c r="J73" s="4"/>
      <x:c r="K73" s="4"/>
      <x:c r="L73" s="4"/>
      <x:c r="M73" s="4"/>
      <x:c r="N73" s="20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</x:row>
    <x:row r="74">
      <x:c r="A74" s="4" t="str">
        <x:v>USVET_073</x:v>
      </x:c>
      <x:c r="B74" s="4" t="str">
        <x:v>principal</x:v>
      </x:c>
      <x:c r="C74" s="16"/>
      <x:c r="D74" s="4"/>
      <x:c r="E74" s="4"/>
      <x:c r="F74" s="4"/>
      <x:c r="G74" s="4"/>
      <x:c r="H74" s="18"/>
      <x:c r="I74" s="4"/>
      <x:c r="J74" s="4"/>
      <x:c r="K74" s="4"/>
      <x:c r="L74" s="4"/>
      <x:c r="M74" s="4"/>
      <x:c r="N74" s="20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</x:row>
    <x:row r="75">
      <x:c r="A75" s="4" t="str">
        <x:v>USVET_074</x:v>
      </x:c>
      <x:c r="B75" s="4" t="str">
        <x:v>principal</x:v>
      </x:c>
      <x:c r="C75" s="16"/>
      <x:c r="D75" s="4"/>
      <x:c r="E75" s="4"/>
      <x:c r="F75" s="4"/>
      <x:c r="G75" s="4"/>
      <x:c r="H75" s="18"/>
      <x:c r="I75" s="4"/>
      <x:c r="J75" s="4"/>
      <x:c r="K75" s="4"/>
      <x:c r="L75" s="4"/>
      <x:c r="M75" s="4"/>
      <x:c r="N75" s="20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</x:row>
    <x:row r="76">
      <x:c r="A76" s="4" t="str">
        <x:v>USVET_075</x:v>
      </x:c>
      <x:c r="B76" s="4" t="str">
        <x:v>principal</x:v>
      </x:c>
      <x:c r="C76" s="16"/>
      <x:c r="D76" s="4"/>
      <x:c r="E76" s="4"/>
      <x:c r="F76" s="4"/>
      <x:c r="G76" s="4"/>
      <x:c r="H76" s="18"/>
      <x:c r="I76" s="4"/>
      <x:c r="J76" s="4"/>
      <x:c r="K76" s="4"/>
      <x:c r="L76" s="4"/>
      <x:c r="M76" s="4"/>
      <x:c r="N76" s="20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</x:row>
    <x:row r="77">
      <x:c r="A77" s="4" t="str">
        <x:v>USVET_076</x:v>
      </x:c>
      <x:c r="B77" s="4" t="str">
        <x:v>principal</x:v>
      </x:c>
      <x:c r="C77" s="16"/>
      <x:c r="D77" s="4"/>
      <x:c r="E77" s="4"/>
      <x:c r="F77" s="4"/>
      <x:c r="G77" s="4"/>
      <x:c r="H77" s="18"/>
      <x:c r="I77" s="4"/>
      <x:c r="J77" s="4"/>
      <x:c r="K77" s="4"/>
      <x:c r="L77" s="4"/>
      <x:c r="M77" s="4"/>
      <x:c r="N77" s="20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</x:row>
    <x:row r="78">
      <x:c r="A78" s="4" t="str">
        <x:v>USVET_077</x:v>
      </x:c>
      <x:c r="B78" s="4" t="str">
        <x:v>principal</x:v>
      </x:c>
      <x:c r="C78" s="16"/>
      <x:c r="D78" s="4"/>
      <x:c r="E78" s="4"/>
      <x:c r="F78" s="4"/>
      <x:c r="G78" s="4"/>
      <x:c r="H78" s="18"/>
      <x:c r="I78" s="4"/>
      <x:c r="J78" s="4"/>
      <x:c r="K78" s="4"/>
      <x:c r="L78" s="4"/>
      <x:c r="M78" s="4"/>
      <x:c r="N78" s="20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</x:row>
    <x:row r="79">
      <x:c r="A79" s="4" t="str">
        <x:v>USVET_078</x:v>
      </x:c>
      <x:c r="B79" s="4" t="str">
        <x:v>principal</x:v>
      </x:c>
      <x:c r="C79" s="16"/>
      <x:c r="D79" s="4"/>
      <x:c r="E79" s="4"/>
      <x:c r="F79" s="4"/>
      <x:c r="G79" s="4"/>
      <x:c r="H79" s="18"/>
      <x:c r="I79" s="4"/>
      <x:c r="J79" s="4"/>
      <x:c r="K79" s="4"/>
      <x:c r="L79" s="4"/>
      <x:c r="M79" s="4"/>
      <x:c r="N79" s="20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</x:row>
    <x:row r="80">
      <x:c r="A80" s="4" t="str">
        <x:v>USVET_079</x:v>
      </x:c>
      <x:c r="B80" s="4" t="str">
        <x:v>principal</x:v>
      </x:c>
      <x:c r="C80" s="16"/>
      <x:c r="D80" s="4"/>
      <x:c r="E80" s="4"/>
      <x:c r="F80" s="4"/>
      <x:c r="G80" s="4"/>
      <x:c r="H80" s="18"/>
      <x:c r="I80" s="4"/>
      <x:c r="J80" s="4"/>
      <x:c r="K80" s="4"/>
      <x:c r="L80" s="4"/>
      <x:c r="M80" s="4"/>
      <x:c r="N80" s="20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</x:row>
    <x:row r="81">
      <x:c r="A81" s="4" t="str">
        <x:v>USVET_080</x:v>
      </x:c>
      <x:c r="B81" s="4" t="str">
        <x:v>principal</x:v>
      </x:c>
      <x:c r="C81" s="16"/>
      <x:c r="D81" s="4"/>
      <x:c r="E81" s="4"/>
      <x:c r="F81" s="4"/>
      <x:c r="G81" s="4"/>
      <x:c r="H81" s="18"/>
      <x:c r="I81" s="4"/>
      <x:c r="J81" s="4"/>
      <x:c r="K81" s="4"/>
      <x:c r="L81" s="4"/>
      <x:c r="M81" s="4"/>
      <x:c r="N81" s="20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</x:row>
    <x:row r="82">
      <x:c r="A82" s="4" t="str">
        <x:v>USVET_081</x:v>
      </x:c>
      <x:c r="B82" s="4" t="str">
        <x:v>principal</x:v>
      </x:c>
      <x:c r="C82" s="16"/>
      <x:c r="D82" s="4"/>
      <x:c r="E82" s="4"/>
      <x:c r="F82" s="4"/>
      <x:c r="G82" s="4"/>
      <x:c r="H82" s="18"/>
      <x:c r="I82" s="4"/>
      <x:c r="J82" s="4"/>
      <x:c r="K82" s="4"/>
      <x:c r="L82" s="4"/>
      <x:c r="M82" s="4"/>
      <x:c r="N82" s="20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</x:row>
    <x:row r="83">
      <x:c r="A83" s="4" t="str">
        <x:v>USVET_082</x:v>
      </x:c>
      <x:c r="B83" s="4" t="str">
        <x:v>principal</x:v>
      </x:c>
      <x:c r="C83" s="16"/>
      <x:c r="D83" s="4"/>
      <x:c r="E83" s="4"/>
      <x:c r="F83" s="4"/>
      <x:c r="G83" s="4"/>
      <x:c r="H83" s="18"/>
      <x:c r="I83" s="4"/>
      <x:c r="J83" s="4"/>
      <x:c r="K83" s="4"/>
      <x:c r="L83" s="4"/>
      <x:c r="M83" s="4"/>
      <x:c r="N83" s="20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</x:row>
    <x:row r="84">
      <x:c r="A84" s="4" t="str">
        <x:v>USVET_083</x:v>
      </x:c>
      <x:c r="B84" s="4" t="str">
        <x:v>principal</x:v>
      </x:c>
      <x:c r="C84" s="16"/>
      <x:c r="D84" s="4"/>
      <x:c r="E84" s="4"/>
      <x:c r="F84" s="4"/>
      <x:c r="G84" s="4"/>
      <x:c r="H84" s="18"/>
      <x:c r="I84" s="4"/>
      <x:c r="J84" s="4"/>
      <x:c r="K84" s="4"/>
      <x:c r="L84" s="4"/>
      <x:c r="M84" s="4"/>
      <x:c r="N84" s="20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</x:row>
    <x:row r="85">
      <x:c r="A85" s="4" t="str">
        <x:v>USVET_084</x:v>
      </x:c>
      <x:c r="B85" s="4" t="str">
        <x:v>principal</x:v>
      </x:c>
      <x:c r="C85" s="16"/>
      <x:c r="D85" s="4"/>
      <x:c r="E85" s="4"/>
      <x:c r="F85" s="4"/>
      <x:c r="G85" s="4"/>
      <x:c r="H85" s="18"/>
      <x:c r="I85" s="4"/>
      <x:c r="J85" s="4"/>
      <x:c r="K85" s="4"/>
      <x:c r="L85" s="4"/>
      <x:c r="M85" s="4"/>
      <x:c r="N85" s="20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</x:row>
    <x:row r="86">
      <x:c r="A86" s="4" t="str">
        <x:v>USVET_085</x:v>
      </x:c>
      <x:c r="B86" s="4" t="str">
        <x:v>principal</x:v>
      </x:c>
      <x:c r="C86" s="16"/>
      <x:c r="D86" s="4"/>
      <x:c r="E86" s="4"/>
      <x:c r="F86" s="4"/>
      <x:c r="G86" s="4"/>
      <x:c r="H86" s="18"/>
      <x:c r="I86" s="4"/>
      <x:c r="J86" s="4"/>
      <x:c r="K86" s="4"/>
      <x:c r="L86" s="4"/>
      <x:c r="M86" s="4"/>
      <x:c r="N86" s="20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</x:row>
    <x:row r="87">
      <x:c r="A87" s="4" t="str">
        <x:v>USVET_086</x:v>
      </x:c>
      <x:c r="B87" s="4" t="str">
        <x:v>principal</x:v>
      </x:c>
      <x:c r="C87" s="16"/>
      <x:c r="D87" s="4"/>
      <x:c r="E87" s="4"/>
      <x:c r="F87" s="4"/>
      <x:c r="G87" s="4"/>
      <x:c r="H87" s="18"/>
      <x:c r="I87" s="4"/>
      <x:c r="J87" s="4"/>
      <x:c r="K87" s="4"/>
      <x:c r="L87" s="4"/>
      <x:c r="M87" s="4"/>
      <x:c r="N87" s="20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</x:row>
    <x:row r="88">
      <x:c r="A88" s="4" t="str">
        <x:v>USVET_087</x:v>
      </x:c>
      <x:c r="B88" s="4" t="str">
        <x:v>principal</x:v>
      </x:c>
      <x:c r="C88" s="16"/>
      <x:c r="D88" s="4"/>
      <x:c r="E88" s="4"/>
      <x:c r="F88" s="4"/>
      <x:c r="G88" s="4"/>
      <x:c r="H88" s="18"/>
      <x:c r="I88" s="4"/>
      <x:c r="J88" s="4"/>
      <x:c r="K88" s="4"/>
      <x:c r="L88" s="4"/>
      <x:c r="M88" s="4"/>
      <x:c r="N88" s="20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</x:row>
    <x:row r="89">
      <x:c r="A89" s="4" t="str">
        <x:v>USVET_088</x:v>
      </x:c>
      <x:c r="B89" s="4" t="str">
        <x:v>principal</x:v>
      </x:c>
      <x:c r="C89" s="16"/>
      <x:c r="D89" s="4"/>
      <x:c r="E89" s="4"/>
      <x:c r="F89" s="4"/>
      <x:c r="G89" s="4"/>
      <x:c r="H89" s="18"/>
      <x:c r="I89" s="4"/>
      <x:c r="J89" s="4"/>
      <x:c r="K89" s="4"/>
      <x:c r="L89" s="4"/>
      <x:c r="M89" s="4"/>
      <x:c r="N89" s="20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</x:row>
    <x:row r="90">
      <x:c r="A90" s="4" t="str">
        <x:v>USVET_089</x:v>
      </x:c>
      <x:c r="B90" s="4" t="str">
        <x:v>principal</x:v>
      </x:c>
      <x:c r="C90" s="16"/>
      <x:c r="D90" s="4"/>
      <x:c r="E90" s="4"/>
      <x:c r="F90" s="4"/>
      <x:c r="G90" s="4"/>
      <x:c r="H90" s="18"/>
      <x:c r="I90" s="4"/>
      <x:c r="J90" s="4"/>
      <x:c r="K90" s="4"/>
      <x:c r="L90" s="4"/>
      <x:c r="M90" s="4"/>
      <x:c r="N90" s="20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</x:row>
    <x:row r="91">
      <x:c r="A91" s="4" t="str">
        <x:v>USVET_090</x:v>
      </x:c>
      <x:c r="B91" s="4" t="str">
        <x:v>principal</x:v>
      </x:c>
      <x:c r="C91" s="16"/>
      <x:c r="D91" s="4"/>
      <x:c r="E91" s="4"/>
      <x:c r="F91" s="4"/>
      <x:c r="G91" s="4"/>
      <x:c r="H91" s="18"/>
      <x:c r="I91" s="4"/>
      <x:c r="J91" s="4"/>
      <x:c r="K91" s="4"/>
      <x:c r="L91" s="4"/>
      <x:c r="M91" s="4"/>
      <x:c r="N91" s="20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</x:row>
    <x:row r="92">
      <x:c r="A92" s="4" t="str">
        <x:v>USVET_091</x:v>
      </x:c>
      <x:c r="B92" s="4" t="str">
        <x:v>principal</x:v>
      </x:c>
      <x:c r="C92" s="16"/>
      <x:c r="D92" s="4"/>
      <x:c r="E92" s="4"/>
      <x:c r="F92" s="4"/>
      <x:c r="G92" s="4"/>
      <x:c r="H92" s="18"/>
      <x:c r="I92" s="4"/>
      <x:c r="J92" s="4"/>
      <x:c r="K92" s="4"/>
      <x:c r="L92" s="4"/>
      <x:c r="M92" s="4"/>
      <x:c r="N92" s="20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</x:row>
    <x:row r="93">
      <x:c r="A93" s="4" t="str">
        <x:v>USVET_092</x:v>
      </x:c>
      <x:c r="B93" s="4" t="str">
        <x:v>principal</x:v>
      </x:c>
      <x:c r="C93" s="16"/>
      <x:c r="D93" s="4"/>
      <x:c r="E93" s="4"/>
      <x:c r="F93" s="4"/>
      <x:c r="G93" s="4"/>
      <x:c r="H93" s="18"/>
      <x:c r="I93" s="4"/>
      <x:c r="J93" s="4"/>
      <x:c r="K93" s="4"/>
      <x:c r="L93" s="4"/>
      <x:c r="M93" s="4"/>
      <x:c r="N93" s="20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</x:row>
    <x:row r="94">
      <x:c r="A94" s="4" t="str">
        <x:v>USVET_093</x:v>
      </x:c>
      <x:c r="B94" s="4" t="str">
        <x:v>principal</x:v>
      </x:c>
      <x:c r="C94" s="16"/>
      <x:c r="D94" s="4"/>
      <x:c r="E94" s="4"/>
      <x:c r="F94" s="4"/>
      <x:c r="G94" s="4"/>
      <x:c r="H94" s="18"/>
      <x:c r="I94" s="4"/>
      <x:c r="J94" s="4"/>
      <x:c r="K94" s="4"/>
      <x:c r="L94" s="4"/>
      <x:c r="M94" s="4"/>
      <x:c r="N94" s="20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</x:row>
    <x:row r="95">
      <x:c r="A95" s="4" t="str">
        <x:v>USVET_094</x:v>
      </x:c>
      <x:c r="B95" s="4" t="str">
        <x:v>principal</x:v>
      </x:c>
      <x:c r="C95" s="16"/>
      <x:c r="D95" s="4"/>
      <x:c r="E95" s="4"/>
      <x:c r="F95" s="4"/>
      <x:c r="G95" s="4"/>
      <x:c r="H95" s="18"/>
      <x:c r="I95" s="4"/>
      <x:c r="J95" s="4"/>
      <x:c r="K95" s="4"/>
      <x:c r="L95" s="4"/>
      <x:c r="M95" s="4"/>
      <x:c r="N95" s="20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</x:row>
    <x:row r="96">
      <x:c r="A96" s="4" t="str">
        <x:v>USVET_095</x:v>
      </x:c>
      <x:c r="B96" s="4" t="str">
        <x:v>principal</x:v>
      </x:c>
      <x:c r="C96" s="16"/>
      <x:c r="D96" s="4"/>
      <x:c r="E96" s="4"/>
      <x:c r="F96" s="4"/>
      <x:c r="G96" s="4"/>
      <x:c r="H96" s="18"/>
      <x:c r="I96" s="4"/>
      <x:c r="J96" s="4"/>
      <x:c r="K96" s="4"/>
      <x:c r="L96" s="4"/>
      <x:c r="M96" s="4"/>
      <x:c r="N96" s="20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</x:row>
    <x:row r="97">
      <x:c r="A97" s="4" t="str">
        <x:v>USVET_096</x:v>
      </x:c>
      <x:c r="B97" s="4" t="str">
        <x:v>principal</x:v>
      </x:c>
      <x:c r="C97" s="16"/>
      <x:c r="D97" s="4"/>
      <x:c r="E97" s="4"/>
      <x:c r="F97" s="4"/>
      <x:c r="G97" s="4"/>
      <x:c r="H97" s="18"/>
      <x:c r="I97" s="4"/>
      <x:c r="J97" s="4"/>
      <x:c r="K97" s="4"/>
      <x:c r="L97" s="4"/>
      <x:c r="M97" s="4"/>
      <x:c r="N97" s="20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</x:row>
    <x:row r="98">
      <x:c r="A98" s="4" t="str">
        <x:v>USVET_097</x:v>
      </x:c>
      <x:c r="B98" s="4" t="str">
        <x:v>principal</x:v>
      </x:c>
      <x:c r="C98" s="16"/>
      <x:c r="D98" s="4"/>
      <x:c r="E98" s="4"/>
      <x:c r="F98" s="4"/>
      <x:c r="G98" s="4"/>
      <x:c r="H98" s="18"/>
      <x:c r="I98" s="4"/>
      <x:c r="J98" s="4"/>
      <x:c r="K98" s="4"/>
      <x:c r="L98" s="4"/>
      <x:c r="M98" s="4"/>
      <x:c r="N98" s="20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</x:row>
    <x:row r="99">
      <x:c r="A99" s="4" t="str">
        <x:v>USVET_098</x:v>
      </x:c>
      <x:c r="B99" s="4" t="str">
        <x:v>principal</x:v>
      </x:c>
      <x:c r="C99" s="16"/>
      <x:c r="D99" s="4"/>
      <x:c r="E99" s="4"/>
      <x:c r="F99" s="4"/>
      <x:c r="G99" s="4"/>
      <x:c r="H99" s="18"/>
      <x:c r="I99" s="4"/>
      <x:c r="J99" s="4"/>
      <x:c r="K99" s="4"/>
      <x:c r="L99" s="4"/>
      <x:c r="M99" s="4"/>
      <x:c r="N99" s="20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</x:row>
    <x:row r="100">
      <x:c r="A100" s="4" t="str">
        <x:v>USVET_099</x:v>
      </x:c>
      <x:c r="B100" s="4" t="str">
        <x:v>principal</x:v>
      </x:c>
      <x:c r="C100" s="16"/>
      <x:c r="D100" s="4"/>
      <x:c r="E100" s="4"/>
      <x:c r="F100" s="4"/>
      <x:c r="G100" s="4"/>
      <x:c r="H100" s="18"/>
      <x:c r="I100" s="4"/>
      <x:c r="J100" s="4"/>
      <x:c r="K100" s="4"/>
      <x:c r="L100" s="4"/>
      <x:c r="M100" s="4"/>
      <x:c r="N100" s="20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</x:row>
    <x:row r="101">
      <x:c r="A101" s="4" t="str">
        <x:v>USVET_100</x:v>
      </x:c>
      <x:c r="B101" s="4" t="str">
        <x:v>principal</x:v>
      </x:c>
      <x:c r="C101" s="16"/>
      <x:c r="D101" s="4"/>
      <x:c r="E101" s="4"/>
      <x:c r="F101" s="4"/>
      <x:c r="G101" s="4"/>
      <x:c r="H101" s="18"/>
      <x:c r="I101" s="4"/>
      <x:c r="J101" s="4"/>
      <x:c r="K101" s="4"/>
      <x:c r="L101" s="4"/>
      <x:c r="M101" s="4"/>
      <x:c r="N101" s="20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</x:row>
    <x:row r="102">
      <x:c r="A102" s="4" t="str">
        <x:v>USVET_101</x:v>
      </x:c>
      <x:c r="B102" s="4" t="str">
        <x:v>principal</x:v>
      </x:c>
      <x:c r="C102" s="16"/>
      <x:c r="D102" s="4"/>
      <x:c r="E102" s="4"/>
      <x:c r="F102" s="4"/>
      <x:c r="G102" s="4"/>
      <x:c r="H102" s="18"/>
      <x:c r="I102" s="4"/>
      <x:c r="J102" s="4"/>
      <x:c r="K102" s="4"/>
      <x:c r="L102" s="4"/>
      <x:c r="M102" s="4"/>
      <x:c r="N102" s="20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</x:row>
    <x:row r="103">
      <x:c r="A103" s="4" t="str">
        <x:v>USVET_102</x:v>
      </x:c>
      <x:c r="B103" s="4" t="str">
        <x:v>principal</x:v>
      </x:c>
      <x:c r="C103" s="16"/>
      <x:c r="D103" s="4"/>
      <x:c r="E103" s="4"/>
      <x:c r="F103" s="4"/>
      <x:c r="G103" s="4"/>
      <x:c r="H103" s="18"/>
      <x:c r="I103" s="4"/>
      <x:c r="J103" s="4"/>
      <x:c r="K103" s="4"/>
      <x:c r="L103" s="4"/>
      <x:c r="M103" s="4"/>
      <x:c r="N103" s="20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</x:row>
    <x:row r="104">
      <x:c r="A104" s="4" t="str">
        <x:v>USVET_103</x:v>
      </x:c>
      <x:c r="B104" s="4" t="str">
        <x:v>principal</x:v>
      </x:c>
      <x:c r="C104" s="16"/>
      <x:c r="D104" s="4"/>
      <x:c r="E104" s="4"/>
      <x:c r="F104" s="4"/>
      <x:c r="G104" s="4"/>
      <x:c r="H104" s="18"/>
      <x:c r="I104" s="4"/>
      <x:c r="J104" s="4"/>
      <x:c r="K104" s="4"/>
      <x:c r="L104" s="4"/>
      <x:c r="M104" s="4"/>
      <x:c r="N104" s="20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</x:row>
    <x:row r="105">
      <x:c r="A105" s="4" t="str">
        <x:v>USVET_104</x:v>
      </x:c>
      <x:c r="B105" s="4" t="str">
        <x:v>principal</x:v>
      </x:c>
      <x:c r="C105" s="16"/>
      <x:c r="D105" s="4"/>
      <x:c r="E105" s="4"/>
      <x:c r="F105" s="4"/>
      <x:c r="G105" s="4"/>
      <x:c r="H105" s="18"/>
      <x:c r="I105" s="4"/>
      <x:c r="J105" s="4"/>
      <x:c r="K105" s="4"/>
      <x:c r="L105" s="4"/>
      <x:c r="M105" s="4"/>
      <x:c r="N105" s="20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</x:row>
    <x:row r="106">
      <x:c r="A106" s="4" t="str">
        <x:v>USVET_105</x:v>
      </x:c>
      <x:c r="B106" s="4" t="str">
        <x:v>principal</x:v>
      </x:c>
      <x:c r="C106" s="16"/>
      <x:c r="D106" s="4"/>
      <x:c r="E106" s="4"/>
      <x:c r="F106" s="4"/>
      <x:c r="G106" s="4"/>
      <x:c r="H106" s="18"/>
      <x:c r="I106" s="4"/>
      <x:c r="J106" s="4"/>
      <x:c r="K106" s="4"/>
      <x:c r="L106" s="4"/>
      <x:c r="M106" s="4"/>
      <x:c r="N106" s="20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</x:row>
    <x:row r="107">
      <x:c r="A107" s="4" t="str">
        <x:v>USVET_106</x:v>
      </x:c>
      <x:c r="B107" s="4" t="str">
        <x:v>principal</x:v>
      </x:c>
      <x:c r="C107" s="16"/>
      <x:c r="D107" s="4"/>
      <x:c r="E107" s="4"/>
      <x:c r="F107" s="4"/>
      <x:c r="G107" s="4"/>
      <x:c r="H107" s="18"/>
      <x:c r="I107" s="4"/>
      <x:c r="J107" s="4"/>
      <x:c r="K107" s="4"/>
      <x:c r="L107" s="4"/>
      <x:c r="M107" s="4"/>
      <x:c r="N107" s="20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</x:row>
    <x:row r="108">
      <x:c r="A108" s="4" t="str">
        <x:v>USVET_107</x:v>
      </x:c>
      <x:c r="B108" s="4" t="str">
        <x:v>principal</x:v>
      </x:c>
      <x:c r="C108" s="16"/>
      <x:c r="D108" s="4"/>
      <x:c r="E108" s="4"/>
      <x:c r="F108" s="4"/>
      <x:c r="G108" s="4"/>
      <x:c r="H108" s="18"/>
      <x:c r="I108" s="4"/>
      <x:c r="J108" s="4"/>
      <x:c r="K108" s="4"/>
      <x:c r="L108" s="4"/>
      <x:c r="M108" s="4"/>
      <x:c r="N108" s="20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</x:row>
    <x:row r="109">
      <x:c r="A109" s="4" t="str">
        <x:v>USVET_108</x:v>
      </x:c>
      <x:c r="B109" s="4" t="str">
        <x:v>principal</x:v>
      </x:c>
      <x:c r="C109" s="16"/>
      <x:c r="D109" s="4"/>
      <x:c r="E109" s="4"/>
      <x:c r="F109" s="4"/>
      <x:c r="G109" s="4"/>
      <x:c r="H109" s="18"/>
      <x:c r="I109" s="4"/>
      <x:c r="J109" s="4"/>
      <x:c r="K109" s="4"/>
      <x:c r="L109" s="4"/>
      <x:c r="M109" s="4"/>
      <x:c r="N109" s="20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</x:row>
    <x:row r="110">
      <x:c r="A110" s="4" t="str">
        <x:v>USVET_109</x:v>
      </x:c>
      <x:c r="B110" s="4" t="str">
        <x:v>principal</x:v>
      </x:c>
      <x:c r="C110" s="16"/>
      <x:c r="D110" s="4"/>
      <x:c r="E110" s="4"/>
      <x:c r="F110" s="4"/>
      <x:c r="G110" s="4"/>
      <x:c r="H110" s="18"/>
      <x:c r="I110" s="4"/>
      <x:c r="J110" s="4"/>
      <x:c r="K110" s="4"/>
      <x:c r="L110" s="4"/>
      <x:c r="M110" s="4"/>
      <x:c r="N110" s="20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</x:row>
    <x:row r="111">
      <x:c r="A111" s="4" t="str">
        <x:v>USVET_110</x:v>
      </x:c>
      <x:c r="B111" s="4" t="str">
        <x:v>principal</x:v>
      </x:c>
      <x:c r="C111" s="16"/>
      <x:c r="D111" s="4"/>
      <x:c r="E111" s="4"/>
      <x:c r="F111" s="4"/>
      <x:c r="G111" s="4"/>
      <x:c r="H111" s="18"/>
      <x:c r="I111" s="4"/>
      <x:c r="J111" s="4"/>
      <x:c r="K111" s="4"/>
      <x:c r="L111" s="4"/>
      <x:c r="M111" s="4"/>
      <x:c r="N111" s="20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</x:row>
    <x:row r="112">
      <x:c r="A112" s="4" t="str">
        <x:v>USVET_111</x:v>
      </x:c>
      <x:c r="B112" s="4" t="str">
        <x:v>principal</x:v>
      </x:c>
      <x:c r="C112" s="16"/>
      <x:c r="D112" s="4"/>
      <x:c r="E112" s="4"/>
      <x:c r="F112" s="4"/>
      <x:c r="G112" s="4"/>
      <x:c r="H112" s="18"/>
      <x:c r="I112" s="4"/>
      <x:c r="J112" s="4"/>
      <x:c r="K112" s="4"/>
      <x:c r="L112" s="4"/>
      <x:c r="M112" s="4"/>
      <x:c r="N112" s="20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</x:row>
    <x:row r="113">
      <x:c r="A113" s="4" t="str">
        <x:v>USVET_112</x:v>
      </x:c>
      <x:c r="B113" s="4" t="str">
        <x:v>principal</x:v>
      </x:c>
      <x:c r="C113" s="16"/>
      <x:c r="D113" s="4"/>
      <x:c r="E113" s="4"/>
      <x:c r="F113" s="4"/>
      <x:c r="G113" s="4"/>
      <x:c r="H113" s="18"/>
      <x:c r="I113" s="4"/>
      <x:c r="J113" s="4"/>
      <x:c r="K113" s="4"/>
      <x:c r="L113" s="4"/>
      <x:c r="M113" s="4"/>
      <x:c r="N113" s="20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</x:row>
    <x:row r="114">
      <x:c r="A114" s="4" t="str">
        <x:v>USVET_113</x:v>
      </x:c>
      <x:c r="B114" s="4" t="str">
        <x:v>principal</x:v>
      </x:c>
      <x:c r="C114" s="16"/>
      <x:c r="D114" s="4"/>
      <x:c r="E114" s="4"/>
      <x:c r="F114" s="4"/>
      <x:c r="G114" s="4"/>
      <x:c r="H114" s="18"/>
      <x:c r="I114" s="4"/>
      <x:c r="J114" s="4"/>
      <x:c r="K114" s="4"/>
      <x:c r="L114" s="4"/>
      <x:c r="M114" s="4"/>
      <x:c r="N114" s="20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</x:row>
    <x:row r="115">
      <x:c r="A115" s="4" t="str">
        <x:v>USVET_114</x:v>
      </x:c>
      <x:c r="B115" s="4" t="str">
        <x:v>principal</x:v>
      </x:c>
      <x:c r="C115" s="16"/>
      <x:c r="D115" s="4"/>
      <x:c r="E115" s="4"/>
      <x:c r="F115" s="4"/>
      <x:c r="G115" s="4"/>
      <x:c r="H115" s="18"/>
      <x:c r="I115" s="4"/>
      <x:c r="J115" s="4"/>
      <x:c r="K115" s="4"/>
      <x:c r="L115" s="4"/>
      <x:c r="M115" s="4"/>
      <x:c r="N115" s="20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</x:row>
    <x:row r="116">
      <x:c r="A116" s="4" t="str">
        <x:v>USVET_115</x:v>
      </x:c>
      <x:c r="B116" s="4" t="str">
        <x:v>principal</x:v>
      </x:c>
      <x:c r="C116" s="16"/>
      <x:c r="D116" s="4"/>
      <x:c r="E116" s="4"/>
      <x:c r="F116" s="4"/>
      <x:c r="G116" s="4"/>
      <x:c r="H116" s="18"/>
      <x:c r="I116" s="4"/>
      <x:c r="J116" s="4"/>
      <x:c r="K116" s="4"/>
      <x:c r="L116" s="4"/>
      <x:c r="M116" s="4"/>
      <x:c r="N116" s="20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</x:row>
  </x:sheetData>
  <x:conditionalFormatting sqref="O2:O116">
    <x:cfRule type="expression" dxfId="0" priority="1">
      <x:formula>O2="boa"</x:formula>
    </x:cfRule>
    <x:cfRule type="expression" dxfId="1" priority="2">
      <x:formula>O2="moderada"</x:formula>
    </x:cfRule>
    <x:cfRule type="expression" dxfId="2" priority="3">
      <x:formula>O2="limitada"</x:formula>
    </x:cfRule>
    <x:cfRule type="expression" dxfId="3" priority="4">
      <x:formula>O2="inadequada"</x:formula>
    </x:cfRule>
  </x:conditionalFormatting>
  <x:conditionalFormatting sqref="B2:B116">
    <x:cfRule type="expression" dxfId="4" priority="5">
      <x:formula>B2="piloto"</x:formula>
    </x:cfRule>
    <x:cfRule type="expression" dxfId="5" priority="6">
      <x:formula>B2="principal"</x:formula>
    </x:cfRule>
  </x:conditionalFormatting>
  <x:conditionalFormatting sqref="U2:U116">
    <x:cfRule type="expression" dxfId="6" priority="7">
      <x:formula>U2="não"</x:formula>
    </x:cfRule>
  </x:conditionalFormatting>
  <x:conditionalFormatting sqref="X2:X116">
    <x:cfRule type="expression" dxfId="7" priority="8">
      <x:formula>X2="revisado"</x:formula>
    </x:cfRule>
  </x:conditionalFormatting>
  <x:dataValidations count="17">
    <x:dataValidation type="list" sqref="B2:B116">
      <x:formula1>"piloto,principal"</x:formula1>
    </x:dataValidation>
    <x:dataValidation type="list" sqref="D2:D116">
      <x:formula1>"maio/2025 a julho/2026"</x:formula1>
    </x:dataValidation>
    <x:dataValidation type="list" sqref="E2:E116">
      <x:formula1>"canina,felina,outra,não informado"</x:formula1>
    </x:dataValidation>
    <x:dataValidation type="list" sqref="F2:F116">
      <x:formula1>"macho,fêmea,macho castrado,fêmea castrada,não informado"</x:formula1>
    </x:dataValidation>
    <x:dataValidation type="list" sqref="I2:I116">
      <x:formula1>"bexiga urinária,rins,fígado,vesícula biliar,baço,trato gastrointestinal,sistema reprodutor,linfonodos,adrenal,pâncreas,cavidade abdominal,outros"</x:formula1>
    </x:dataValidation>
    <x:dataValidation type="list" sqref="K2:K116">
      <x:formula1>"urinário,renal,hepático,biliar,esplênico,gastrointestinal,reprodutor,endócrino,linfonodal,abdominal geral,normal,outro"</x:formula1>
    </x:dataValidation>
    <x:dataValidation type="list" sqref="L2:L116">
      <x:formula1>"normal,alterado,inconclusivo,não informado"</x:formula1>
    </x:dataValidation>
    <x:dataValidation type="list" sqref="M2:M116">
      <x:formula1>"sim,não"</x:formula1>
    </x:dataValidation>
    <x:dataValidation type="list" sqref="O2:O116">
      <x:formula1>"boa,moderada,limitada,inadequada"</x:formula1>
    </x:dataValidation>
    <x:dataValidation type="list" sqref="P2:P116">
      <x:formula1>"alta,moderada,baixa,não aplicável"</x:formula1>
    </x:dataValidation>
    <x:dataValidation type="list" sqref="Q2:Q116">
      <x:formula1>"sim,não"</x:formula1>
    </x:dataValidation>
    <x:dataValidation type="list" sqref="R2:R116">
      <x:formula1>"sim,não"</x:formula1>
    </x:dataValidation>
    <x:dataValidation type="list" sqref="S2:S116">
      <x:formula1>"sim,não,pendente de avaliação"</x:formula1>
    </x:dataValidation>
    <x:dataValidation type="list" sqref="T2:T116">
      <x:formula1>"pendente,anonimizado,não necessário,não possível"</x:formula1>
    </x:dataValidation>
    <x:dataValidation type="list" sqref="U2:U116">
      <x:formula1>"sim,não,pendente"</x:formula1>
    </x:dataValidation>
    <x:dataValidation type="list" sqref="W2:W116">
      <x:formula1>"alta,média,baixa"</x:formula1>
    </x:dataValidation>
    <x:dataValidation type="list" sqref="X2:X116">
      <x:formula1>"não iniciado,cadastrado,imagens organizadas,anonimizado,enviado para API,resposta recebida,revisado,excluído"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70d817368244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5" hidden="0" customWidth="1"/>
    <x:col min="3" max="3" width="20" hidden="0" customWidth="1"/>
    <x:col min="4" max="4" width="24" hidden="0" customWidth="1"/>
    <x:col min="5" max="5" width="22" hidden="0" customWidth="1"/>
    <x:col min="6" max="6" width="45" hidden="0" customWidth="1"/>
  </x:cols>
  <x:sheetData>
    <x:row r="1">
      <x:c r="A1" s="11" t="str">
        <x:v>campo</x:v>
      </x:c>
      <x:c r="B1" s="11" t="str">
        <x:v>descricao</x:v>
      </x:c>
      <x:c r="C1" s="11" t="str">
        <x:v>tipo_de_dado</x:v>
      </x:c>
      <x:c r="D1" s="11" t="str">
        <x:v>preenchimento_obrigatorio</x:v>
      </x:c>
      <x:c r="E1" s="11" t="str">
        <x:v>exemplo</x:v>
      </x:c>
      <x:c r="F1" s="11" t="str">
        <x:v>observacao</x:v>
      </x:c>
    </x:row>
    <x:row r="2">
      <x:c r="A2" s="4" t="str">
        <x:v>codigo_exame</x:v>
      </x:c>
      <x:c r="B2" s="4" t="str">
        <x:v>Identificador interno anonimizado do exame. Não deve conter nome de paciente, tutor, clínica ou profissional.</x:v>
      </x:c>
      <x:c r="C2" s="4" t="str">
        <x:v>texto</x:v>
      </x:c>
      <x:c r="D2" s="4" t="str">
        <x:v>sim</x:v>
      </x:c>
      <x:c r="E2" s="4" t="str">
        <x:v>USVET_001</x:v>
      </x:c>
      <x:c r="F2" s="4" t="str">
        <x:v>Gerado sequencialmente para rastreabilidade acadêmica.</x:v>
      </x:c>
    </x:row>
    <x:row r="3">
      <x:c r="A3" s="4" t="str">
        <x:v>grupo_amostra</x:v>
      </x:c>
      <x:c r="B3" s="4" t="str">
        <x:v>Define se o exame pertence ao grupo piloto ou ao grupo principal.</x:v>
      </x:c>
      <x:c r="C3" s="4" t="str">
        <x:v>lista</x:v>
      </x:c>
      <x:c r="D3" s="4" t="str">
        <x:v>sim</x:v>
      </x:c>
      <x:c r="E3" s="4" t="str">
        <x:v>piloto</x:v>
      </x:c>
      <x:c r="F3" s="4" t="str">
        <x:v>Piloto: 15 exames iniciais; principal: 100 exames para avaliação descritiva.</x:v>
      </x:c>
    </x:row>
    <x:row r="4">
      <x:c r="A4" s="4" t="str">
        <x:v>data_exame</x:v>
      </x:c>
      <x:c r="B4" s="4" t="str">
        <x:v>Data em que o exame ultrassonográfico foi realizado.</x:v>
      </x:c>
      <x:c r="C4" s="4" t="str">
        <x:v>data</x:v>
      </x:c>
      <x:c r="D4" s="4" t="str">
        <x:v>desejável</x:v>
      </x:c>
      <x:c r="E4" s="4" t="str">
        <x:v>15/05/2025</x:v>
      </x:c>
      <x:c r="F4" s="4" t="str">
        <x:v>Usar apenas quando não comprometer anonimização.</x:v>
      </x:c>
    </x:row>
    <x:row r="5">
      <x:c r="A5" s="4" t="str">
        <x:v>periodo_base</x:v>
      </x:c>
      <x:c r="B5" s="4" t="str">
        <x:v>Período retrospectivo de origem da base do projeto.</x:v>
      </x:c>
      <x:c r="C5" s="4" t="str">
        <x:v>lista</x:v>
      </x:c>
      <x:c r="D5" s="4" t="str">
        <x:v>sim</x:v>
      </x:c>
      <x:c r="E5" s="4" t="str">
        <x:v>maio/2025 a julho/2026</x:v>
      </x:c>
      <x:c r="F5" s="4" t="str">
        <x:v>Mantém consistência com o escopo metodológico.</x:v>
      </x:c>
    </x:row>
    <x:row r="6">
      <x:c r="A6" s="4" t="str">
        <x:v>especie</x:v>
      </x:c>
      <x:c r="B6" s="4" t="str">
        <x:v>Espécie do paciente veterinário avaliado.</x:v>
      </x:c>
      <x:c r="C6" s="4" t="str">
        <x:v>lista</x:v>
      </x:c>
      <x:c r="D6" s="4" t="str">
        <x:v>sim</x:v>
      </x:c>
      <x:c r="E6" s="4" t="str">
        <x:v>canina</x:v>
      </x:c>
      <x:c r="F6" s="4" t="str">
        <x:v>Não inserir nome do paciente.</x:v>
      </x:c>
    </x:row>
    <x:row r="7">
      <x:c r="A7" s="4" t="str">
        <x:v>sexo</x:v>
      </x:c>
      <x:c r="B7" s="4" t="str">
        <x:v>Sexo e condição reprodutiva quando conhecida.</x:v>
      </x:c>
      <x:c r="C7" s="4" t="str">
        <x:v>lista</x:v>
      </x:c>
      <x:c r="D7" s="4" t="str">
        <x:v>desejável</x:v>
      </x:c>
      <x:c r="E7" s="4" t="str">
        <x:v>fêmea castrada</x:v>
      </x:c>
      <x:c r="F7" s="4" t="str">
        <x:v>Usar 'não informado' quando ausente.</x:v>
      </x:c>
    </x:row>
    <x:row r="8">
      <x:c r="A8" s="4" t="str">
        <x:v>idade</x:v>
      </x:c>
      <x:c r="B8" s="4" t="str">
        <x:v>Idade aproximada informada no exame.</x:v>
      </x:c>
      <x:c r="C8" s="4" t="str">
        <x:v>texto</x:v>
      </x:c>
      <x:c r="D8" s="4" t="str">
        <x:v>desejável</x:v>
      </x:c>
      <x:c r="E8" s="4" t="str">
        <x:v>5 anos</x:v>
      </x:c>
      <x:c r="F8" s="4" t="str">
        <x:v>Campo textual para permitir meses, anos ou informação aproximada.</x:v>
      </x:c>
    </x:row>
    <x:row r="9">
      <x:c r="A9" s="4" t="str">
        <x:v>peso_kg</x:v>
      </x:c>
      <x:c r="B9" s="4" t="str">
        <x:v>Peso do paciente em quilogramas, quando disponível.</x:v>
      </x:c>
      <x:c r="C9" s="4" t="str">
        <x:v>número</x:v>
      </x:c>
      <x:c r="D9" s="4" t="str">
        <x:v>não</x:v>
      </x:c>
      <x:c r="E9" s="4" t="str">
        <x:v>8,40</x:v>
      </x:c>
      <x:c r="F9" s="4" t="str">
        <x:v>Usar vírgula ou ponto conforme padrão do Excel local.</x:v>
      </x:c>
    </x:row>
    <x:row r="10">
      <x:c r="A10" s="4" t="str">
        <x:v>orgao_regiao_principal</x:v>
      </x:c>
      <x:c r="B10" s="4" t="str">
        <x:v>Órgão ou região anatômica principal relacionada ao exame ou ao achado central.</x:v>
      </x:c>
      <x:c r="C10" s="4" t="str">
        <x:v>lista</x:v>
      </x:c>
      <x:c r="D10" s="4" t="str">
        <x:v>sim</x:v>
      </x:c>
      <x:c r="E10" s="4" t="str">
        <x:v>bexiga urinária</x:v>
      </x:c>
      <x:c r="F10" s="4" t="str">
        <x:v>Permite análise posterior por região anatômica.</x:v>
      </x:c>
    </x:row>
    <x:row r="11">
      <x:c r="A11" s="4" t="str">
        <x:v>outros_orgaos_avaliados</x:v>
      </x:c>
      <x:c r="B11" s="4" t="str">
        <x:v>Outros órgãos ou regiões mencionados no exame.</x:v>
      </x:c>
      <x:c r="C11" s="4" t="str">
        <x:v>texto</x:v>
      </x:c>
      <x:c r="D11" s="4" t="str">
        <x:v>não</x:v>
      </x:c>
      <x:c r="E11" s="4" t="str">
        <x:v>rins; fígado</x:v>
      </x:c>
      <x:c r="F11" s="4" t="str">
        <x:v>Separar por ponto e vírgula quando houver mais de um.</x:v>
      </x:c>
    </x:row>
    <x:row r="12">
      <x:c r="A12" s="4" t="str">
        <x:v>tipo_caso</x:v>
      </x:c>
      <x:c r="B12" s="4" t="str">
        <x:v>Classificação geral do tipo de caso para controle de diversidade da amostra.</x:v>
      </x:c>
      <x:c r="C12" s="4" t="str">
        <x:v>lista</x:v>
      </x:c>
      <x:c r="D12" s="4" t="str">
        <x:v>sim</x:v>
      </x:c>
      <x:c r="E12" s="4" t="str">
        <x:v>urinário</x:v>
      </x:c>
      <x:c r="F12" s="4" t="str">
        <x:v>Auxilia a aleatoriedade controlada por grupos.</x:v>
      </x:c>
    </x:row>
    <x:row r="13">
      <x:c r="A13" s="4" t="str">
        <x:v>normal_ou_alterado</x:v>
      </x:c>
      <x:c r="B13" s="4" t="str">
        <x:v>Indica se o exame foi considerado normal, alterado, inconclusivo ou não informado.</x:v>
      </x:c>
      <x:c r="C13" s="4" t="str">
        <x:v>lista</x:v>
      </x:c>
      <x:c r="D13" s="4" t="str">
        <x:v>sim</x:v>
      </x:c>
      <x:c r="E13" s="4" t="str">
        <x:v>alterado</x:v>
      </x:c>
      <x:c r="F13" s="4" t="str">
        <x:v>Não equivale a diagnóstico definitivo.</x:v>
      </x:c>
    </x:row>
    <x:row r="14">
      <x:c r="A14" s="4" t="str">
        <x:v>descricao_tecnica_associada</x:v>
      </x:c>
      <x:c r="B14" s="4" t="str">
        <x:v>Indica se existe descrição técnica da ultrassonografista associada ao exame.</x:v>
      </x:c>
      <x:c r="C14" s="4" t="str">
        <x:v>lista</x:v>
      </x:c>
      <x:c r="D14" s="4" t="str">
        <x:v>sim</x:v>
      </x:c>
      <x:c r="E14" s="4" t="str">
        <x:v>sim</x:v>
      </x:c>
      <x:c r="F14" s="4" t="str">
        <x:v>Obrigatório para comparação multimodal no projeto.</x:v>
      </x:c>
    </x:row>
    <x:row r="15">
      <x:c r="A15" s="4" t="str">
        <x:v>quantidade_imagens</x:v>
      </x:c>
      <x:c r="B15" s="4" t="str">
        <x:v>Número de imagens ultrassonográficas disponíveis no exame.</x:v>
      </x:c>
      <x:c r="C15" s="4" t="str">
        <x:v>número inteiro</x:v>
      </x:c>
      <x:c r="D15" s="4" t="str">
        <x:v>sim</x:v>
      </x:c>
      <x:c r="E15" s="4" t="str">
        <x:v>15</x:v>
      </x:c>
      <x:c r="F15" s="4" t="str">
        <x:v>Usado para estimar volume visual e controle de upload.</x:v>
      </x:c>
    </x:row>
    <x:row r="16">
      <x:c r="A16" s="4" t="str">
        <x:v>qualidade_imagem</x:v>
      </x:c>
      <x:c r="B16" s="4" t="str">
        <x:v>Classificação visual da qualidade das imagens ultrassonográficas, considerando legibilidade, presença de artefatos e utilidade para comparação.</x:v>
      </x:c>
      <x:c r="C16" s="4" t="str">
        <x:v>lista</x:v>
      </x:c>
      <x:c r="D16" s="4" t="str">
        <x:v>sim</x:v>
      </x:c>
      <x:c r="E16" s="4" t="str">
        <x:v>boa</x:v>
      </x:c>
      <x:c r="F16" s="4" t="str">
        <x:v>Exames inadequados podem ser excluídos.</x:v>
      </x:c>
    </x:row>
    <x:row r="17">
      <x:c r="A17" s="4" t="str">
        <x:v>clareza_diagnostica</x:v>
      </x:c>
      <x:c r="B17" s="4" t="str">
        <x:v>Grau de clareza do caso para permitir comparação entre imagem, descrição da ultrassonografista e resposta da IA.</x:v>
      </x:c>
      <x:c r="C17" s="4" t="str">
        <x:v>lista</x:v>
      </x:c>
      <x:c r="D17" s="4" t="str">
        <x:v>sim</x:v>
      </x:c>
      <x:c r="E17" s="4" t="str">
        <x:v>alta</x:v>
      </x:c>
      <x:c r="F17" s="4" t="str">
        <x:v>A clareza é critério de seleção, não resultado da IA.</x:v>
      </x:c>
    </x:row>
    <x:row r="18">
      <x:c r="A18" s="4" t="str">
        <x:v>dados_identificaveis_na_imagem</x:v>
      </x:c>
      <x:c r="B18" s="4" t="str">
        <x:v>Indica se há nome, tutor, clínica, telefone, endereço ou qualquer informação sensível visível na imagem.</x:v>
      </x:c>
      <x:c r="C18" s="4" t="str">
        <x:v>lista</x:v>
      </x:c>
      <x:c r="D18" s="4" t="str">
        <x:v>sim</x:v>
      </x:c>
      <x:c r="E18" s="4" t="str">
        <x:v>não</x:v>
      </x:c>
      <x:c r="F18" s="4" t="str">
        <x:v>Quando sim, avaliar anonimização visual.</x:v>
      </x:c>
    </x:row>
    <x:row r="19">
      <x:c r="A19" s="4" t="str">
        <x:v>dados_identificaveis_no_texto</x:v>
      </x:c>
      <x:c r="B19" s="4" t="str">
        <x:v>Indica se há dados pessoais ou sensíveis no texto associado ao exame.</x:v>
      </x:c>
      <x:c r="C19" s="4" t="str">
        <x:v>lista</x:v>
      </x:c>
      <x:c r="D19" s="4" t="str">
        <x:v>sim</x:v>
      </x:c>
      <x:c r="E19" s="4" t="str">
        <x:v>sim</x:v>
      </x:c>
      <x:c r="F19" s="4" t="str">
        <x:v>Remover antes de uso acadêmico ou apresentação.</x:v>
      </x:c>
    </x:row>
    <x:row r="20">
      <x:c r="A20" s="4" t="str">
        <x:v>anonimizacao_possivel</x:v>
      </x:c>
      <x:c r="B20" s="4" t="str">
        <x:v>Indica se é possível remover ou ocultar os dados identificáveis sem comprometer o uso acadêmico.</x:v>
      </x:c>
      <x:c r="C20" s="4" t="str">
        <x:v>lista</x:v>
      </x:c>
      <x:c r="D20" s="4" t="str">
        <x:v>sim</x:v>
      </x:c>
      <x:c r="E20" s="4" t="str">
        <x:v>sim</x:v>
      </x:c>
      <x:c r="F20" s="4" t="str">
        <x:v>Se não for possível, o exame deve ser excluído.</x:v>
      </x:c>
    </x:row>
    <x:row r="21">
      <x:c r="A21" s="4" t="str">
        <x:v>status_anonimizacao</x:v>
      </x:c>
      <x:c r="B21" s="4" t="str">
        <x:v>Estado atual da anonimização do exame e das imagens.</x:v>
      </x:c>
      <x:c r="C21" s="4" t="str">
        <x:v>lista</x:v>
      </x:c>
      <x:c r="D21" s="4" t="str">
        <x:v>sim</x:v>
      </x:c>
      <x:c r="E21" s="4" t="str">
        <x:v>pendente</x:v>
      </x:c>
      <x:c r="F21" s="4" t="str">
        <x:v>Atualizar conforme a curadoria avança.</x:v>
      </x:c>
    </x:row>
    <x:row r="22">
      <x:c r="A22" s="4" t="str">
        <x:v>incluido_na_amostra</x:v>
      </x:c>
      <x:c r="B22" s="4" t="str">
        <x:v>Define se o exame permanece na amostra após critérios de inclusão e exclusão.</x:v>
      </x:c>
      <x:c r="C22" s="4" t="str">
        <x:v>lista</x:v>
      </x:c>
      <x:c r="D22" s="4" t="str">
        <x:v>sim</x:v>
      </x:c>
      <x:c r="E22" s="4" t="str">
        <x:v>pendente</x:v>
      </x:c>
      <x:c r="F22" s="4" t="str">
        <x:v>Exames não incluídos devem ter motivo de exclusão.</x:v>
      </x:c>
    </x:row>
    <x:row r="23">
      <x:c r="A23" s="4" t="str">
        <x:v>motivo_exclusao</x:v>
      </x:c>
      <x:c r="B23" s="4" t="str">
        <x:v>Justificativa para exclusão do exame, quando aplicável.</x:v>
      </x:c>
      <x:c r="C23" s="4" t="str">
        <x:v>texto</x:v>
      </x:c>
      <x:c r="D23" s="4" t="str">
        <x:v>condicional</x:v>
      </x:c>
      <x:c r="E23" s="4" t="str">
        <x:v>imagem inadequada</x:v>
      </x:c>
      <x:c r="F23" s="4" t="str">
        <x:v>Preencher apenas quando incluido_na_amostra = não.</x:v>
      </x:c>
    </x:row>
    <x:row r="24">
      <x:c r="A24" s="4" t="str">
        <x:v>prioridade_processamento</x:v>
      </x:c>
      <x:c r="B24" s="4" t="str">
        <x:v>Prioridade para cadastro, anonimização e envio posterior para API.</x:v>
      </x:c>
      <x:c r="C24" s="4" t="str">
        <x:v>lista</x:v>
      </x:c>
      <x:c r="D24" s="4" t="str">
        <x:v>não</x:v>
      </x:c>
      <x:c r="E24" s="4" t="str">
        <x:v>alta</x:v>
      </x:c>
      <x:c r="F24" s="4" t="str">
        <x:v>Pode priorizar exames piloto ou casos com melhor organização.</x:v>
      </x:c>
    </x:row>
    <x:row r="25">
      <x:c r="A25" s="4" t="str">
        <x:v>status_processamento</x:v>
      </x:c>
      <x:c r="B25" s="4" t="str">
        <x:v>Indica em que fase o exame está dentro do fluxo do sistema.</x:v>
      </x:c>
      <x:c r="C25" s="4" t="str">
        <x:v>lista</x:v>
      </x:c>
      <x:c r="D25" s="4" t="str">
        <x:v>sim</x:v>
      </x:c>
      <x:c r="E25" s="4" t="str">
        <x:v>não iniciado</x:v>
      </x:c>
      <x:c r="F25" s="4" t="str">
        <x:v>Atualizado durante desenvolvimento do sistema.</x:v>
      </x:c>
    </x:row>
    <x:row r="26">
      <x:c r="A26" s="4" t="str">
        <x:v>observacoes_curadoria</x:v>
      </x:c>
      <x:c r="B26" s="4" t="str">
        <x:v>Campo livre para anotações técnicas da curadoria.</x:v>
      </x:c>
      <x:c r="C26" s="4" t="str">
        <x:v>texto</x:v>
      </x:c>
      <x:c r="D26" s="4" t="str">
        <x:v>não</x:v>
      </x:c>
      <x:c r="E26" s="4" t="str">
        <x:v>avaliar qualidade</x:v>
      </x:c>
      <x:c r="F26" s="4" t="str">
        <x:v>Não inserir dados pessoais.</x:v>
      </x:c>
    </x:row>
  </x:sheetData>
  <x:pageMargins left="0.7" right="0.7" top="0.75" bottom="0.75" header="0.3" footer="0.3"/>
  <x:tableParts count="1">
    <x:tablePart xmlns:r="http://schemas.openxmlformats.org/officeDocument/2006/relationships" r:id="Rb46871f0b83b46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4" hidden="0" customWidth="1"/>
    <x:col min="4" max="4" width="24" hidden="0" customWidth="1"/>
    <x:col min="5" max="5" width="12" hidden="0" customWidth="1"/>
    <x:col min="6" max="6" width="4" hidden="0" customWidth="1"/>
    <x:col min="7" max="7" width="28" hidden="0" customWidth="1"/>
    <x:col min="8" max="8" width="12" hidden="0" customWidth="1"/>
    <x:col min="9" max="9" width="4" hidden="0" customWidth="1"/>
    <x:col min="10" max="10" width="26" hidden="0" customWidth="1"/>
    <x:col min="11" max="11" width="12" hidden="0" customWidth="1"/>
  </x:cols>
  <x:sheetData>
    <x:row r="1" ht="30" customHeight="1">
      <x:c r="A1" s="25" t="str">
        <x:v>Resumo da Amostra — Us.Vet IA</x:v>
      </x:c>
    </x:row>
    <x:row r="2" ht="28" customHeight="1">
      <x:c r="A2" s="33" t="str">
        <x:v>Indicadores automáticos baseados na aba Curadoria_Exames. As fórmulas serão atualizadas conforme a curadoria for preenchida.</x:v>
      </x:c>
    </x:row>
    <x:row r="4">
      <x:c r="A4" s="42" t="str">
        <x:v>Indicador</x:v>
      </x:c>
      <x:c r="B4" s="42" t="str">
        <x:v>Valor</x:v>
      </x:c>
      <x:c r="D4" s="58" t="str">
        <x:v>Contagem por espécie</x:v>
      </x:c>
      <x:c r="E4" s="59"/>
      <x:c r="G4" s="58" t="str">
        <x:v>Contagem por órgão/região</x:v>
      </x:c>
      <x:c r="H4" s="59"/>
      <x:c r="J4" s="58" t="str">
        <x:v>Contagem por tipo de caso</x:v>
      </x:c>
      <x:c r="K4" s="59"/>
    </x:row>
    <x:row r="5">
      <x:c r="A5" s="48" t="str">
        <x:v>Total de exames cadastrados</x:v>
      </x:c>
      <x:c r="B5" s="50" t="n">
        <x:f>COUNTA(Curadoria_Exames!$A$2:$A$116)</x:f>
        <x:v>115</x:v>
      </x:c>
      <x:c r="D5" s="11" t="str">
        <x:v>Categoria</x:v>
      </x:c>
      <x:c r="E5" s="11" t="str">
        <x:v>Total</x:v>
      </x:c>
      <x:c r="G5" s="11" t="str">
        <x:v>Categoria</x:v>
      </x:c>
      <x:c r="H5" s="11" t="str">
        <x:v>Total</x:v>
      </x:c>
      <x:c r="J5" s="11" t="str">
        <x:v>Categoria</x:v>
      </x:c>
      <x:c r="K5" s="11" t="str">
        <x:v>Total</x:v>
      </x:c>
    </x:row>
    <x:row r="6">
      <x:c r="A6" s="48" t="str">
        <x:v>Total de exames piloto</x:v>
      </x:c>
      <x:c r="B6" s="50" t="n">
        <x:f>COUNTIF(Curadoria_Exames!$B$2:$B$116,"piloto")</x:f>
        <x:v>15</x:v>
      </x:c>
      <x:c r="D6" s="59" t="str">
        <x:v>canina</x:v>
      </x:c>
      <x:c r="E6" s="64" t="n">
        <x:f>COUNTIF(Curadoria_Exames!$E$2:$E$116,D6)</x:f>
        <x:v>0</x:v>
      </x:c>
      <x:c r="G6" s="59" t="str">
        <x:v>bexiga urinária</x:v>
      </x:c>
      <x:c r="H6" s="64" t="n">
        <x:f>COUNTIF(Curadoria_Exames!$I$2:$I$116,G6)</x:f>
        <x:v>0</x:v>
      </x:c>
      <x:c r="J6" s="59" t="str">
        <x:v>urinário</x:v>
      </x:c>
      <x:c r="K6" s="64" t="n">
        <x:f>COUNTIF(Curadoria_Exames!$K$2:$K$116,J6)</x:f>
        <x:v>0</x:v>
      </x:c>
    </x:row>
    <x:row r="7">
      <x:c r="A7" s="48" t="str">
        <x:v>Total de exames principais</x:v>
      </x:c>
      <x:c r="B7" s="50" t="n">
        <x:f>COUNTIF(Curadoria_Exames!$B$2:$B$116,"principal")</x:f>
        <x:v>100</x:v>
      </x:c>
      <x:c r="D7" s="59" t="str">
        <x:v>felina</x:v>
      </x:c>
      <x:c r="E7" s="64" t="n">
        <x:f>COUNTIF(Curadoria_Exames!$E$2:$E$116,D7)</x:f>
        <x:v>0</x:v>
      </x:c>
      <x:c r="G7" s="59" t="str">
        <x:v>rins</x:v>
      </x:c>
      <x:c r="H7" s="64" t="n">
        <x:f>COUNTIF(Curadoria_Exames!$I$2:$I$116,G7)</x:f>
        <x:v>0</x:v>
      </x:c>
      <x:c r="J7" s="59" t="str">
        <x:v>renal</x:v>
      </x:c>
      <x:c r="K7" s="64" t="n">
        <x:f>COUNTIF(Curadoria_Exames!$K$2:$K$116,J7)</x:f>
        <x:v>0</x:v>
      </x:c>
    </x:row>
    <x:row r="8">
      <x:c r="A8" s="48" t="str">
        <x:v>Total de exames incluídos</x:v>
      </x:c>
      <x:c r="B8" s="50" t="n">
        <x:f>COUNTIF(Curadoria_Exames!$U$2:$U$116,"sim")</x:f>
        <x:v>0</x:v>
      </x:c>
      <x:c r="D8" s="59" t="str">
        <x:v>outra</x:v>
      </x:c>
      <x:c r="E8" s="64" t="n">
        <x:f>COUNTIF(Curadoria_Exames!$E$2:$E$116,D8)</x:f>
        <x:v>0</x:v>
      </x:c>
      <x:c r="G8" s="59" t="str">
        <x:v>fígado</x:v>
      </x:c>
      <x:c r="H8" s="64" t="n">
        <x:f>COUNTIF(Curadoria_Exames!$I$2:$I$116,G8)</x:f>
        <x:v>0</x:v>
      </x:c>
      <x:c r="J8" s="59" t="str">
        <x:v>hepático</x:v>
      </x:c>
      <x:c r="K8" s="64" t="n">
        <x:f>COUNTIF(Curadoria_Exames!$K$2:$K$116,J8)</x:f>
        <x:v>0</x:v>
      </x:c>
    </x:row>
    <x:row r="9">
      <x:c r="A9" s="48" t="str">
        <x:v>Total de exames excluídos</x:v>
      </x:c>
      <x:c r="B9" s="50" t="n">
        <x:f>COUNTIF(Curadoria_Exames!$U$2:$U$116,"não")</x:f>
        <x:v>0</x:v>
      </x:c>
      <x:c r="D9" s="59" t="str">
        <x:v>não informado</x:v>
      </x:c>
      <x:c r="E9" s="64" t="n">
        <x:f>COUNTIF(Curadoria_Exames!$E$2:$E$116,D9)</x:f>
        <x:v>0</x:v>
      </x:c>
      <x:c r="G9" s="59" t="str">
        <x:v>vesícula biliar</x:v>
      </x:c>
      <x:c r="H9" s="64" t="n">
        <x:f>COUNTIF(Curadoria_Exames!$I$2:$I$116,G9)</x:f>
        <x:v>0</x:v>
      </x:c>
      <x:c r="J9" s="59" t="str">
        <x:v>biliar</x:v>
      </x:c>
      <x:c r="K9" s="64" t="n">
        <x:f>COUNTIF(Curadoria_Exames!$K$2:$K$116,J9)</x:f>
        <x:v>0</x:v>
      </x:c>
    </x:row>
    <x:row r="10">
      <x:c r="A10" s="48" t="str">
        <x:v>Total de exames pendentes</x:v>
      </x:c>
      <x:c r="B10" s="50" t="n">
        <x:f>COUNTIF(Curadoria_Exames!$U$2:$U$116,"pendente")</x:f>
        <x:v>0</x:v>
      </x:c>
      <x:c r="G10" s="59" t="str">
        <x:v>baço</x:v>
      </x:c>
      <x:c r="H10" s="64" t="n">
        <x:f>COUNTIF(Curadoria_Exames!$I$2:$I$116,G10)</x:f>
        <x:v>0</x:v>
      </x:c>
      <x:c r="J10" s="59" t="str">
        <x:v>esplênico</x:v>
      </x:c>
      <x:c r="K10" s="64" t="n">
        <x:f>COUNTIF(Curadoria_Exames!$K$2:$K$116,J10)</x:f>
        <x:v>0</x:v>
      </x:c>
    </x:row>
    <x:row r="11">
      <x:c r="A11" s="48" t="str">
        <x:v>Total de imagens registradas</x:v>
      </x:c>
      <x:c r="B11" s="50" t="n">
        <x:f>SUM(Curadoria_Exames!$N$2:$N$116)</x:f>
        <x:v>0</x:v>
      </x:c>
      <x:c r="G11" s="59" t="str">
        <x:v>trato gastrointestinal</x:v>
      </x:c>
      <x:c r="H11" s="64" t="n">
        <x:f>COUNTIF(Curadoria_Exames!$I$2:$I$116,G11)</x:f>
        <x:v>0</x:v>
      </x:c>
      <x:c r="J11" s="59" t="str">
        <x:v>gastrointestinal</x:v>
      </x:c>
      <x:c r="K11" s="64" t="n">
        <x:f>COUNTIF(Curadoria_Exames!$K$2:$K$116,J11)</x:f>
        <x:v>0</x:v>
      </x:c>
    </x:row>
    <x:row r="12">
      <x:c r="A12" s="48" t="str">
        <x:v>Exames com descrição técnica associada</x:v>
      </x:c>
      <x:c r="B12" s="50" t="n">
        <x:f>COUNTIF(Curadoria_Exames!$M$2:$M$116,"sim")</x:f>
        <x:v>0</x:v>
      </x:c>
      <x:c r="G12" s="59" t="str">
        <x:v>sistema reprodutor</x:v>
      </x:c>
      <x:c r="H12" s="64" t="n">
        <x:f>COUNTIF(Curadoria_Exames!$I$2:$I$116,G12)</x:f>
        <x:v>0</x:v>
      </x:c>
      <x:c r="J12" s="59" t="str">
        <x:v>reprodutor</x:v>
      </x:c>
      <x:c r="K12" s="64" t="n">
        <x:f>COUNTIF(Curadoria_Exames!$K$2:$K$116,J12)</x:f>
        <x:v>0</x:v>
      </x:c>
    </x:row>
    <x:row r="13">
      <x:c r="A13" s="48" t="str">
        <x:v>Exames com dados identificáveis na imagem</x:v>
      </x:c>
      <x:c r="B13" s="50" t="n">
        <x:f>COUNTIF(Curadoria_Exames!$Q$2:$Q$116,"sim")</x:f>
        <x:v>0</x:v>
      </x:c>
      <x:c r="G13" s="59" t="str">
        <x:v>linfonodos</x:v>
      </x:c>
      <x:c r="H13" s="64" t="n">
        <x:f>COUNTIF(Curadoria_Exames!$I$2:$I$116,G13)</x:f>
        <x:v>0</x:v>
      </x:c>
      <x:c r="J13" s="59" t="str">
        <x:v>endócrino</x:v>
      </x:c>
      <x:c r="K13" s="64" t="n">
        <x:f>COUNTIF(Curadoria_Exames!$K$2:$K$116,J13)</x:f>
        <x:v>0</x:v>
      </x:c>
    </x:row>
    <x:row r="14">
      <x:c r="A14" s="48" t="str">
        <x:v>Exames com dados identificáveis no texto</x:v>
      </x:c>
      <x:c r="B14" s="50" t="n">
        <x:f>COUNTIF(Curadoria_Exames!$R$2:$R$116,"sim")</x:f>
        <x:v>0</x:v>
      </x:c>
      <x:c r="D14" s="58" t="str">
        <x:v>Qualidade de imagem</x:v>
      </x:c>
      <x:c r="E14" s="59"/>
      <x:c r="G14" s="59" t="str">
        <x:v>adrenal</x:v>
      </x:c>
      <x:c r="H14" s="64" t="n">
        <x:f>COUNTIF(Curadoria_Exames!$I$2:$I$116,G14)</x:f>
        <x:v>0</x:v>
      </x:c>
      <x:c r="J14" s="59" t="str">
        <x:v>linfonodal</x:v>
      </x:c>
      <x:c r="K14" s="64" t="n">
        <x:f>COUNTIF(Curadoria_Exames!$K$2:$K$116,J14)</x:f>
        <x:v>0</x:v>
      </x:c>
    </x:row>
    <x:row r="15">
      <x:c r="A15" s="48" t="str">
        <x:v>Exames anonimizados</x:v>
      </x:c>
      <x:c r="B15" s="50" t="n">
        <x:f>COUNTIF(Curadoria_Exames!$T$2:$T$116,"anonimizado")</x:f>
        <x:v>0</x:v>
      </x:c>
      <x:c r="D15" s="11" t="str">
        <x:v>Categoria</x:v>
      </x:c>
      <x:c r="E15" s="11" t="str">
        <x:v>Total</x:v>
      </x:c>
      <x:c r="G15" s="59" t="str">
        <x:v>pâncreas</x:v>
      </x:c>
      <x:c r="H15" s="64" t="n">
        <x:f>COUNTIF(Curadoria_Exames!$I$2:$I$116,G15)</x:f>
        <x:v>0</x:v>
      </x:c>
      <x:c r="J15" s="59" t="str">
        <x:v>abdominal geral</x:v>
      </x:c>
      <x:c r="K15" s="64" t="n">
        <x:f>COUNTIF(Curadoria_Exames!$K$2:$K$116,J15)</x:f>
        <x:v>0</x:v>
      </x:c>
    </x:row>
    <x:row r="16">
      <x:c r="A16" s="48" t="str">
        <x:v>Exames pendentes de anonimização</x:v>
      </x:c>
      <x:c r="B16" s="50" t="n">
        <x:f>COUNTIF(Curadoria_Exames!$T$2:$T$116,"pendente")</x:f>
        <x:v>0</x:v>
      </x:c>
      <x:c r="D16" s="59" t="str">
        <x:v>boa</x:v>
      </x:c>
      <x:c r="E16" s="64" t="n">
        <x:f>COUNTIF(Curadoria_Exames!$O$2:$O$116,D16)</x:f>
        <x:v>0</x:v>
      </x:c>
      <x:c r="G16" s="59" t="str">
        <x:v>cavidade abdominal</x:v>
      </x:c>
      <x:c r="H16" s="64" t="n">
        <x:f>COUNTIF(Curadoria_Exames!$I$2:$I$116,G16)</x:f>
        <x:v>0</x:v>
      </x:c>
      <x:c r="J16" s="59" t="str">
        <x:v>normal</x:v>
      </x:c>
      <x:c r="K16" s="64" t="n">
        <x:f>COUNTIF(Curadoria_Exames!$K$2:$K$116,J16)</x:f>
        <x:v>0</x:v>
      </x:c>
    </x:row>
    <x:row r="17">
      <x:c r="A17" s="48" t="str">
        <x:v>Exames enviados para API</x:v>
      </x:c>
      <x:c r="B17" s="50" t="n">
        <x:f>COUNTIF(Curadoria_Exames!$X$2:$X$116,"enviado para API")</x:f>
        <x:v>0</x:v>
      </x:c>
      <x:c r="D17" s="59" t="str">
        <x:v>moderada</x:v>
      </x:c>
      <x:c r="E17" s="64" t="n">
        <x:f>COUNTIF(Curadoria_Exames!$O$2:$O$116,D17)</x:f>
        <x:v>0</x:v>
      </x:c>
      <x:c r="G17" s="59" t="str">
        <x:v>outros</x:v>
      </x:c>
      <x:c r="H17" s="64" t="n">
        <x:f>COUNTIF(Curadoria_Exames!$I$2:$I$116,G17)</x:f>
        <x:v>0</x:v>
      </x:c>
      <x:c r="J17" s="59" t="str">
        <x:v>outro</x:v>
      </x:c>
      <x:c r="K17" s="64" t="n">
        <x:f>COUNTIF(Curadoria_Exames!$K$2:$K$116,J17)</x:f>
        <x:v>0</x:v>
      </x:c>
    </x:row>
    <x:row r="18">
      <x:c r="A18" s="48" t="str">
        <x:v>Exames revisados</x:v>
      </x:c>
      <x:c r="B18" s="50" t="n">
        <x:f>COUNTIF(Curadoria_Exames!$X$2:$X$116,"revisado")</x:f>
        <x:v>0</x:v>
      </x:c>
      <x:c r="D18" s="59" t="str">
        <x:v>limitada</x:v>
      </x:c>
      <x:c r="E18" s="64" t="n">
        <x:f>COUNTIF(Curadoria_Exames!$O$2:$O$116,D18)</x:f>
        <x:v>0</x:v>
      </x:c>
    </x:row>
    <x:row r="19">
      <x:c r="D19" s="59" t="str">
        <x:v>inadequada</x:v>
      </x:c>
      <x:c r="E19" s="64" t="n">
        <x:f>COUNTIF(Curadoria_Exames!$O$2:$O$116,D19)</x:f>
        <x:v>0</x:v>
      </x:c>
    </x:row>
    <x:row r="20">
      <x:c r="G20" s="58" t="str">
        <x:v>Clareza diagnóstica</x:v>
      </x:c>
      <x:c r="H20" s="59"/>
      <x:c r="J20" s="58" t="str">
        <x:v>Status de processamento</x:v>
      </x:c>
      <x:c r="K20" s="59"/>
    </x:row>
    <x:row r="21">
      <x:c r="G21" s="11" t="str">
        <x:v>Categoria</x:v>
      </x:c>
      <x:c r="H21" s="11" t="str">
        <x:v>Total</x:v>
      </x:c>
      <x:c r="J21" s="11" t="str">
        <x:v>Categoria</x:v>
      </x:c>
      <x:c r="K21" s="11" t="str">
        <x:v>Total</x:v>
      </x:c>
    </x:row>
    <x:row r="22">
      <x:c r="G22" s="59" t="str">
        <x:v>alta</x:v>
      </x:c>
      <x:c r="H22" s="64" t="n">
        <x:f>COUNTIF(Curadoria_Exames!$P$2:$P$116,G22)</x:f>
        <x:v>0</x:v>
      </x:c>
      <x:c r="J22" s="59" t="str">
        <x:v>não iniciado</x:v>
      </x:c>
      <x:c r="K22" s="64" t="n">
        <x:f>COUNTIF(Curadoria_Exames!$X$2:$X$116,J22)</x:f>
        <x:v>0</x:v>
      </x:c>
    </x:row>
    <x:row r="23">
      <x:c r="G23" s="59" t="str">
        <x:v>moderada</x:v>
      </x:c>
      <x:c r="H23" s="64" t="n">
        <x:f>COUNTIF(Curadoria_Exames!$P$2:$P$116,G23)</x:f>
        <x:v>0</x:v>
      </x:c>
      <x:c r="J23" s="59" t="str">
        <x:v>cadastrado</x:v>
      </x:c>
      <x:c r="K23" s="64" t="n">
        <x:f>COUNTIF(Curadoria_Exames!$X$2:$X$116,J23)</x:f>
        <x:v>0</x:v>
      </x:c>
    </x:row>
    <x:row r="24">
      <x:c r="G24" s="59" t="str">
        <x:v>baixa</x:v>
      </x:c>
      <x:c r="H24" s="64" t="n">
        <x:f>COUNTIF(Curadoria_Exames!$P$2:$P$116,G24)</x:f>
        <x:v>0</x:v>
      </x:c>
      <x:c r="J24" s="59" t="str">
        <x:v>imagens organizadas</x:v>
      </x:c>
      <x:c r="K24" s="64" t="n">
        <x:f>COUNTIF(Curadoria_Exames!$X$2:$X$116,J24)</x:f>
        <x:v>0</x:v>
      </x:c>
    </x:row>
    <x:row r="25">
      <x:c r="G25" s="59" t="str">
        <x:v>não aplicável</x:v>
      </x:c>
      <x:c r="H25" s="64" t="n">
        <x:f>COUNTIF(Curadoria_Exames!$P$2:$P$116,G25)</x:f>
        <x:v>0</x:v>
      </x:c>
      <x:c r="J25" s="59" t="str">
        <x:v>anonimizado</x:v>
      </x:c>
      <x:c r="K25" s="64" t="n">
        <x:f>COUNTIF(Curadoria_Exames!$X$2:$X$116,J25)</x:f>
        <x:v>0</x:v>
      </x:c>
    </x:row>
    <x:row r="26">
      <x:c r="J26" s="59" t="str">
        <x:v>enviado para API</x:v>
      </x:c>
      <x:c r="K26" s="64" t="n">
        <x:f>COUNTIF(Curadoria_Exames!$X$2:$X$116,J26)</x:f>
        <x:v>0</x:v>
      </x:c>
    </x:row>
    <x:row r="27">
      <x:c r="J27" s="59" t="str">
        <x:v>resposta recebida</x:v>
      </x:c>
      <x:c r="K27" s="64" t="n">
        <x:f>COUNTIF(Curadoria_Exames!$X$2:$X$116,J27)</x:f>
        <x:v>0</x:v>
      </x:c>
    </x:row>
    <x:row r="28">
      <x:c r="J28" s="59" t="str">
        <x:v>revisado</x:v>
      </x:c>
      <x:c r="K28" s="64" t="n">
        <x:f>COUNTIF(Curadoria_Exames!$X$2:$X$116,J28)</x:f>
        <x:v>0</x:v>
      </x:c>
    </x:row>
    <x:row r="29">
      <x:c r="J29" s="59" t="str">
        <x:v>excluído</x:v>
      </x:c>
      <x:c r="K29" s="64" t="n">
        <x:f>COUNTIF(Curadoria_Exames!$X$2:$X$116,J29)</x:f>
        <x:v>0</x:v>
      </x:c>
    </x:row>
  </x:sheetData>
  <x:mergeCells>
    <x:mergeCell ref="A1:F1"/>
    <x:mergeCell ref="A2:F2"/>
    <x:mergeCell ref="D4:E4"/>
    <x:mergeCell ref="G4:H4"/>
    <x:mergeCell ref="J4:K4"/>
    <x:mergeCell ref="D14:E14"/>
    <x:mergeCell ref="G20:H20"/>
    <x:mergeCell ref="J20:K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30" hidden="0" customWidth="1"/>
    <x:col min="5" max="5" width="27" hidden="0" customWidth="1"/>
    <x:col min="6" max="6" width="30" hidden="0" customWidth="1"/>
    <x:col min="7" max="7" width="24" hidden="0" customWidth="1"/>
    <x:col min="8" max="8" width="24" hidden="0" customWidth="1"/>
    <x:col min="9" max="9" width="18" hidden="0" customWidth="1"/>
    <x:col min="10" max="10" width="22" hidden="0" customWidth="1"/>
    <x:col min="11" max="11" width="36" hidden="0" customWidth="1"/>
  </x:cols>
  <x:sheetData>
    <x:row r="1" ht="34" customHeight="1">
      <x:c r="A1" s="11" t="str">
        <x:v>codigo_exame</x:v>
      </x:c>
      <x:c r="B1" s="11" t="str">
        <x:v>grupo_amostra</x:v>
      </x:c>
      <x:c r="C1" s="11" t="str">
        <x:v>quantidade_imagens_originais</x:v>
      </x:c>
      <x:c r="D1" s="11" t="str">
        <x:v>quantidade_imagens_anonimizadas</x:v>
      </x:c>
      <x:c r="E1" s="11" t="str">
        <x:v>existe_identificacao_visual</x:v>
      </x:c>
      <x:c r="F1" s="11" t="str">
        <x:v>tipo_identificacao_encontrada</x:v>
      </x:c>
      <x:c r="G1" s="11" t="str">
        <x:v>acao_realizada</x:v>
      </x:c>
      <x:c r="H1" s="11" t="str">
        <x:v>responsavel_verificacao</x:v>
      </x:c>
      <x:c r="I1" s="11" t="str">
        <x:v>data_verificacao</x:v>
      </x:c>
      <x:c r="J1" s="11" t="str">
        <x:v>status_final</x:v>
      </x:c>
      <x:c r="K1" s="11" t="str">
        <x:v>observacoes</x:v>
      </x:c>
    </x:row>
    <x:row r="2">
      <x:c r="A2" s="4" t="str">
        <x:v>USVET_001</x:v>
      </x:c>
      <x:c r="B2" s="4" t="str">
        <x:v>piloto</x:v>
      </x:c>
      <x:c r="C2" s="20"/>
      <x:c r="D2" s="20"/>
      <x:c r="E2" s="4"/>
      <x:c r="F2" s="4"/>
      <x:c r="G2" s="4"/>
      <x:c r="H2" s="4"/>
      <x:c r="I2" s="16"/>
      <x:c r="J2" s="4"/>
      <x:c r="K2" s="4"/>
    </x:row>
    <x:row r="3">
      <x:c r="A3" s="4" t="str">
        <x:v>USVET_002</x:v>
      </x:c>
      <x:c r="B3" s="4" t="str">
        <x:v>piloto</x:v>
      </x:c>
      <x:c r="C3" s="20"/>
      <x:c r="D3" s="20"/>
      <x:c r="E3" s="4"/>
      <x:c r="F3" s="4"/>
      <x:c r="G3" s="4"/>
      <x:c r="H3" s="4"/>
      <x:c r="I3" s="16"/>
      <x:c r="J3" s="4"/>
      <x:c r="K3" s="4"/>
    </x:row>
    <x:row r="4">
      <x:c r="A4" s="4" t="str">
        <x:v>USVET_003</x:v>
      </x:c>
      <x:c r="B4" s="4" t="str">
        <x:v>piloto</x:v>
      </x:c>
      <x:c r="C4" s="20"/>
      <x:c r="D4" s="20"/>
      <x:c r="E4" s="4"/>
      <x:c r="F4" s="4"/>
      <x:c r="G4" s="4"/>
      <x:c r="H4" s="4"/>
      <x:c r="I4" s="16"/>
      <x:c r="J4" s="4"/>
      <x:c r="K4" s="4"/>
    </x:row>
    <x:row r="5">
      <x:c r="A5" s="4" t="str">
        <x:v>USVET_004</x:v>
      </x:c>
      <x:c r="B5" s="4" t="str">
        <x:v>piloto</x:v>
      </x:c>
      <x:c r="C5" s="20"/>
      <x:c r="D5" s="20"/>
      <x:c r="E5" s="4"/>
      <x:c r="F5" s="4"/>
      <x:c r="G5" s="4"/>
      <x:c r="H5" s="4"/>
      <x:c r="I5" s="16"/>
      <x:c r="J5" s="4"/>
      <x:c r="K5" s="4"/>
    </x:row>
    <x:row r="6">
      <x:c r="A6" s="4" t="str">
        <x:v>USVET_005</x:v>
      </x:c>
      <x:c r="B6" s="4" t="str">
        <x:v>piloto</x:v>
      </x:c>
      <x:c r="C6" s="20"/>
      <x:c r="D6" s="20"/>
      <x:c r="E6" s="4"/>
      <x:c r="F6" s="4"/>
      <x:c r="G6" s="4"/>
      <x:c r="H6" s="4"/>
      <x:c r="I6" s="16"/>
      <x:c r="J6" s="4"/>
      <x:c r="K6" s="4"/>
    </x:row>
    <x:row r="7">
      <x:c r="A7" s="4" t="str">
        <x:v>USVET_006</x:v>
      </x:c>
      <x:c r="B7" s="4" t="str">
        <x:v>piloto</x:v>
      </x:c>
      <x:c r="C7" s="20"/>
      <x:c r="D7" s="20"/>
      <x:c r="E7" s="4"/>
      <x:c r="F7" s="4"/>
      <x:c r="G7" s="4"/>
      <x:c r="H7" s="4"/>
      <x:c r="I7" s="16"/>
      <x:c r="J7" s="4"/>
      <x:c r="K7" s="4"/>
    </x:row>
    <x:row r="8">
      <x:c r="A8" s="4" t="str">
        <x:v>USVET_007</x:v>
      </x:c>
      <x:c r="B8" s="4" t="str">
        <x:v>piloto</x:v>
      </x:c>
      <x:c r="C8" s="20"/>
      <x:c r="D8" s="20"/>
      <x:c r="E8" s="4"/>
      <x:c r="F8" s="4"/>
      <x:c r="G8" s="4"/>
      <x:c r="H8" s="4"/>
      <x:c r="I8" s="16"/>
      <x:c r="J8" s="4"/>
      <x:c r="K8" s="4"/>
    </x:row>
    <x:row r="9">
      <x:c r="A9" s="4" t="str">
        <x:v>USVET_008</x:v>
      </x:c>
      <x:c r="B9" s="4" t="str">
        <x:v>piloto</x:v>
      </x:c>
      <x:c r="C9" s="20"/>
      <x:c r="D9" s="20"/>
      <x:c r="E9" s="4"/>
      <x:c r="F9" s="4"/>
      <x:c r="G9" s="4"/>
      <x:c r="H9" s="4"/>
      <x:c r="I9" s="16"/>
      <x:c r="J9" s="4"/>
      <x:c r="K9" s="4"/>
    </x:row>
    <x:row r="10">
      <x:c r="A10" s="4" t="str">
        <x:v>USVET_009</x:v>
      </x:c>
      <x:c r="B10" s="4" t="str">
        <x:v>piloto</x:v>
      </x:c>
      <x:c r="C10" s="20"/>
      <x:c r="D10" s="20"/>
      <x:c r="E10" s="4"/>
      <x:c r="F10" s="4"/>
      <x:c r="G10" s="4"/>
      <x:c r="H10" s="4"/>
      <x:c r="I10" s="16"/>
      <x:c r="J10" s="4"/>
      <x:c r="K10" s="4"/>
    </x:row>
    <x:row r="11">
      <x:c r="A11" s="4" t="str">
        <x:v>USVET_010</x:v>
      </x:c>
      <x:c r="B11" s="4" t="str">
        <x:v>piloto</x:v>
      </x:c>
      <x:c r="C11" s="20"/>
      <x:c r="D11" s="20"/>
      <x:c r="E11" s="4"/>
      <x:c r="F11" s="4"/>
      <x:c r="G11" s="4"/>
      <x:c r="H11" s="4"/>
      <x:c r="I11" s="16"/>
      <x:c r="J11" s="4"/>
      <x:c r="K11" s="4"/>
    </x:row>
    <x:row r="12">
      <x:c r="A12" s="4" t="str">
        <x:v>USVET_011</x:v>
      </x:c>
      <x:c r="B12" s="4" t="str">
        <x:v>piloto</x:v>
      </x:c>
      <x:c r="C12" s="20"/>
      <x:c r="D12" s="20"/>
      <x:c r="E12" s="4"/>
      <x:c r="F12" s="4"/>
      <x:c r="G12" s="4"/>
      <x:c r="H12" s="4"/>
      <x:c r="I12" s="16"/>
      <x:c r="J12" s="4"/>
      <x:c r="K12" s="4"/>
    </x:row>
    <x:row r="13">
      <x:c r="A13" s="4" t="str">
        <x:v>USVET_012</x:v>
      </x:c>
      <x:c r="B13" s="4" t="str">
        <x:v>piloto</x:v>
      </x:c>
      <x:c r="C13" s="20"/>
      <x:c r="D13" s="20"/>
      <x:c r="E13" s="4"/>
      <x:c r="F13" s="4"/>
      <x:c r="G13" s="4"/>
      <x:c r="H13" s="4"/>
      <x:c r="I13" s="16"/>
      <x:c r="J13" s="4"/>
      <x:c r="K13" s="4"/>
    </x:row>
    <x:row r="14">
      <x:c r="A14" s="4" t="str">
        <x:v>USVET_013</x:v>
      </x:c>
      <x:c r="B14" s="4" t="str">
        <x:v>piloto</x:v>
      </x:c>
      <x:c r="C14" s="20"/>
      <x:c r="D14" s="20"/>
      <x:c r="E14" s="4"/>
      <x:c r="F14" s="4"/>
      <x:c r="G14" s="4"/>
      <x:c r="H14" s="4"/>
      <x:c r="I14" s="16"/>
      <x:c r="J14" s="4"/>
      <x:c r="K14" s="4"/>
    </x:row>
    <x:row r="15">
      <x:c r="A15" s="4" t="str">
        <x:v>USVET_014</x:v>
      </x:c>
      <x:c r="B15" s="4" t="str">
        <x:v>piloto</x:v>
      </x:c>
      <x:c r="C15" s="20"/>
      <x:c r="D15" s="20"/>
      <x:c r="E15" s="4"/>
      <x:c r="F15" s="4"/>
      <x:c r="G15" s="4"/>
      <x:c r="H15" s="4"/>
      <x:c r="I15" s="16"/>
      <x:c r="J15" s="4"/>
      <x:c r="K15" s="4"/>
    </x:row>
    <x:row r="16">
      <x:c r="A16" s="4" t="str">
        <x:v>USVET_015</x:v>
      </x:c>
      <x:c r="B16" s="4" t="str">
        <x:v>piloto</x:v>
      </x:c>
      <x:c r="C16" s="20"/>
      <x:c r="D16" s="20"/>
      <x:c r="E16" s="4"/>
      <x:c r="F16" s="4"/>
      <x:c r="G16" s="4"/>
      <x:c r="H16" s="4"/>
      <x:c r="I16" s="16"/>
      <x:c r="J16" s="4"/>
      <x:c r="K16" s="4"/>
    </x:row>
    <x:row r="17">
      <x:c r="A17" s="4" t="str">
        <x:v>USVET_016</x:v>
      </x:c>
      <x:c r="B17" s="4" t="str">
        <x:v>principal</x:v>
      </x:c>
      <x:c r="C17" s="20"/>
      <x:c r="D17" s="20"/>
      <x:c r="E17" s="4"/>
      <x:c r="F17" s="4"/>
      <x:c r="G17" s="4"/>
      <x:c r="H17" s="4"/>
      <x:c r="I17" s="16"/>
      <x:c r="J17" s="4"/>
      <x:c r="K17" s="4"/>
    </x:row>
    <x:row r="18">
      <x:c r="A18" s="4" t="str">
        <x:v>USVET_017</x:v>
      </x:c>
      <x:c r="B18" s="4" t="str">
        <x:v>principal</x:v>
      </x:c>
      <x:c r="C18" s="20"/>
      <x:c r="D18" s="20"/>
      <x:c r="E18" s="4"/>
      <x:c r="F18" s="4"/>
      <x:c r="G18" s="4"/>
      <x:c r="H18" s="4"/>
      <x:c r="I18" s="16"/>
      <x:c r="J18" s="4"/>
      <x:c r="K18" s="4"/>
    </x:row>
    <x:row r="19">
      <x:c r="A19" s="4" t="str">
        <x:v>USVET_018</x:v>
      </x:c>
      <x:c r="B19" s="4" t="str">
        <x:v>principal</x:v>
      </x:c>
      <x:c r="C19" s="20"/>
      <x:c r="D19" s="20"/>
      <x:c r="E19" s="4"/>
      <x:c r="F19" s="4"/>
      <x:c r="G19" s="4"/>
      <x:c r="H19" s="4"/>
      <x:c r="I19" s="16"/>
      <x:c r="J19" s="4"/>
      <x:c r="K19" s="4"/>
    </x:row>
    <x:row r="20">
      <x:c r="A20" s="4" t="str">
        <x:v>USVET_019</x:v>
      </x:c>
      <x:c r="B20" s="4" t="str">
        <x:v>principal</x:v>
      </x:c>
      <x:c r="C20" s="20"/>
      <x:c r="D20" s="20"/>
      <x:c r="E20" s="4"/>
      <x:c r="F20" s="4"/>
      <x:c r="G20" s="4"/>
      <x:c r="H20" s="4"/>
      <x:c r="I20" s="16"/>
      <x:c r="J20" s="4"/>
      <x:c r="K20" s="4"/>
    </x:row>
    <x:row r="21">
      <x:c r="A21" s="4" t="str">
        <x:v>USVET_020</x:v>
      </x:c>
      <x:c r="B21" s="4" t="str">
        <x:v>principal</x:v>
      </x:c>
      <x:c r="C21" s="20"/>
      <x:c r="D21" s="20"/>
      <x:c r="E21" s="4"/>
      <x:c r="F21" s="4"/>
      <x:c r="G21" s="4"/>
      <x:c r="H21" s="4"/>
      <x:c r="I21" s="16"/>
      <x:c r="J21" s="4"/>
      <x:c r="K21" s="4"/>
    </x:row>
    <x:row r="22">
      <x:c r="A22" s="4" t="str">
        <x:v>USVET_021</x:v>
      </x:c>
      <x:c r="B22" s="4" t="str">
        <x:v>principal</x:v>
      </x:c>
      <x:c r="C22" s="20"/>
      <x:c r="D22" s="20"/>
      <x:c r="E22" s="4"/>
      <x:c r="F22" s="4"/>
      <x:c r="G22" s="4"/>
      <x:c r="H22" s="4"/>
      <x:c r="I22" s="16"/>
      <x:c r="J22" s="4"/>
      <x:c r="K22" s="4"/>
    </x:row>
    <x:row r="23">
      <x:c r="A23" s="4" t="str">
        <x:v>USVET_022</x:v>
      </x:c>
      <x:c r="B23" s="4" t="str">
        <x:v>principal</x:v>
      </x:c>
      <x:c r="C23" s="20"/>
      <x:c r="D23" s="20"/>
      <x:c r="E23" s="4"/>
      <x:c r="F23" s="4"/>
      <x:c r="G23" s="4"/>
      <x:c r="H23" s="4"/>
      <x:c r="I23" s="16"/>
      <x:c r="J23" s="4"/>
      <x:c r="K23" s="4"/>
    </x:row>
    <x:row r="24">
      <x:c r="A24" s="4" t="str">
        <x:v>USVET_023</x:v>
      </x:c>
      <x:c r="B24" s="4" t="str">
        <x:v>principal</x:v>
      </x:c>
      <x:c r="C24" s="20"/>
      <x:c r="D24" s="20"/>
      <x:c r="E24" s="4"/>
      <x:c r="F24" s="4"/>
      <x:c r="G24" s="4"/>
      <x:c r="H24" s="4"/>
      <x:c r="I24" s="16"/>
      <x:c r="J24" s="4"/>
      <x:c r="K24" s="4"/>
    </x:row>
    <x:row r="25">
      <x:c r="A25" s="4" t="str">
        <x:v>USVET_024</x:v>
      </x:c>
      <x:c r="B25" s="4" t="str">
        <x:v>principal</x:v>
      </x:c>
      <x:c r="C25" s="20"/>
      <x:c r="D25" s="20"/>
      <x:c r="E25" s="4"/>
      <x:c r="F25" s="4"/>
      <x:c r="G25" s="4"/>
      <x:c r="H25" s="4"/>
      <x:c r="I25" s="16"/>
      <x:c r="J25" s="4"/>
      <x:c r="K25" s="4"/>
    </x:row>
    <x:row r="26">
      <x:c r="A26" s="4" t="str">
        <x:v>USVET_025</x:v>
      </x:c>
      <x:c r="B26" s="4" t="str">
        <x:v>principal</x:v>
      </x:c>
      <x:c r="C26" s="20"/>
      <x:c r="D26" s="20"/>
      <x:c r="E26" s="4"/>
      <x:c r="F26" s="4"/>
      <x:c r="G26" s="4"/>
      <x:c r="H26" s="4"/>
      <x:c r="I26" s="16"/>
      <x:c r="J26" s="4"/>
      <x:c r="K26" s="4"/>
    </x:row>
    <x:row r="27">
      <x:c r="A27" s="4" t="str">
        <x:v>USVET_026</x:v>
      </x:c>
      <x:c r="B27" s="4" t="str">
        <x:v>principal</x:v>
      </x:c>
      <x:c r="C27" s="20"/>
      <x:c r="D27" s="20"/>
      <x:c r="E27" s="4"/>
      <x:c r="F27" s="4"/>
      <x:c r="G27" s="4"/>
      <x:c r="H27" s="4"/>
      <x:c r="I27" s="16"/>
      <x:c r="J27" s="4"/>
      <x:c r="K27" s="4"/>
    </x:row>
    <x:row r="28">
      <x:c r="A28" s="4" t="str">
        <x:v>USVET_027</x:v>
      </x:c>
      <x:c r="B28" s="4" t="str">
        <x:v>principal</x:v>
      </x:c>
      <x:c r="C28" s="20"/>
      <x:c r="D28" s="20"/>
      <x:c r="E28" s="4"/>
      <x:c r="F28" s="4"/>
      <x:c r="G28" s="4"/>
      <x:c r="H28" s="4"/>
      <x:c r="I28" s="16"/>
      <x:c r="J28" s="4"/>
      <x:c r="K28" s="4"/>
    </x:row>
    <x:row r="29">
      <x:c r="A29" s="4" t="str">
        <x:v>USVET_028</x:v>
      </x:c>
      <x:c r="B29" s="4" t="str">
        <x:v>principal</x:v>
      </x:c>
      <x:c r="C29" s="20"/>
      <x:c r="D29" s="20"/>
      <x:c r="E29" s="4"/>
      <x:c r="F29" s="4"/>
      <x:c r="G29" s="4"/>
      <x:c r="H29" s="4"/>
      <x:c r="I29" s="16"/>
      <x:c r="J29" s="4"/>
      <x:c r="K29" s="4"/>
    </x:row>
    <x:row r="30">
      <x:c r="A30" s="4" t="str">
        <x:v>USVET_029</x:v>
      </x:c>
      <x:c r="B30" s="4" t="str">
        <x:v>principal</x:v>
      </x:c>
      <x:c r="C30" s="20"/>
      <x:c r="D30" s="20"/>
      <x:c r="E30" s="4"/>
      <x:c r="F30" s="4"/>
      <x:c r="G30" s="4"/>
      <x:c r="H30" s="4"/>
      <x:c r="I30" s="16"/>
      <x:c r="J30" s="4"/>
      <x:c r="K30" s="4"/>
    </x:row>
    <x:row r="31">
      <x:c r="A31" s="4" t="str">
        <x:v>USVET_030</x:v>
      </x:c>
      <x:c r="B31" s="4" t="str">
        <x:v>principal</x:v>
      </x:c>
      <x:c r="C31" s="20"/>
      <x:c r="D31" s="20"/>
      <x:c r="E31" s="4"/>
      <x:c r="F31" s="4"/>
      <x:c r="G31" s="4"/>
      <x:c r="H31" s="4"/>
      <x:c r="I31" s="16"/>
      <x:c r="J31" s="4"/>
      <x:c r="K31" s="4"/>
    </x:row>
    <x:row r="32">
      <x:c r="A32" s="4" t="str">
        <x:v>USVET_031</x:v>
      </x:c>
      <x:c r="B32" s="4" t="str">
        <x:v>principal</x:v>
      </x:c>
      <x:c r="C32" s="20"/>
      <x:c r="D32" s="20"/>
      <x:c r="E32" s="4"/>
      <x:c r="F32" s="4"/>
      <x:c r="G32" s="4"/>
      <x:c r="H32" s="4"/>
      <x:c r="I32" s="16"/>
      <x:c r="J32" s="4"/>
      <x:c r="K32" s="4"/>
    </x:row>
    <x:row r="33">
      <x:c r="A33" s="4" t="str">
        <x:v>USVET_032</x:v>
      </x:c>
      <x:c r="B33" s="4" t="str">
        <x:v>principal</x:v>
      </x:c>
      <x:c r="C33" s="20"/>
      <x:c r="D33" s="20"/>
      <x:c r="E33" s="4"/>
      <x:c r="F33" s="4"/>
      <x:c r="G33" s="4"/>
      <x:c r="H33" s="4"/>
      <x:c r="I33" s="16"/>
      <x:c r="J33" s="4"/>
      <x:c r="K33" s="4"/>
    </x:row>
    <x:row r="34">
      <x:c r="A34" s="4" t="str">
        <x:v>USVET_033</x:v>
      </x:c>
      <x:c r="B34" s="4" t="str">
        <x:v>principal</x:v>
      </x:c>
      <x:c r="C34" s="20"/>
      <x:c r="D34" s="20"/>
      <x:c r="E34" s="4"/>
      <x:c r="F34" s="4"/>
      <x:c r="G34" s="4"/>
      <x:c r="H34" s="4"/>
      <x:c r="I34" s="16"/>
      <x:c r="J34" s="4"/>
      <x:c r="K34" s="4"/>
    </x:row>
    <x:row r="35">
      <x:c r="A35" s="4" t="str">
        <x:v>USVET_034</x:v>
      </x:c>
      <x:c r="B35" s="4" t="str">
        <x:v>principal</x:v>
      </x:c>
      <x:c r="C35" s="20"/>
      <x:c r="D35" s="20"/>
      <x:c r="E35" s="4"/>
      <x:c r="F35" s="4"/>
      <x:c r="G35" s="4"/>
      <x:c r="H35" s="4"/>
      <x:c r="I35" s="16"/>
      <x:c r="J35" s="4"/>
      <x:c r="K35" s="4"/>
    </x:row>
    <x:row r="36">
      <x:c r="A36" s="4" t="str">
        <x:v>USVET_035</x:v>
      </x:c>
      <x:c r="B36" s="4" t="str">
        <x:v>principal</x:v>
      </x:c>
      <x:c r="C36" s="20"/>
      <x:c r="D36" s="20"/>
      <x:c r="E36" s="4"/>
      <x:c r="F36" s="4"/>
      <x:c r="G36" s="4"/>
      <x:c r="H36" s="4"/>
      <x:c r="I36" s="16"/>
      <x:c r="J36" s="4"/>
      <x:c r="K36" s="4"/>
    </x:row>
    <x:row r="37">
      <x:c r="A37" s="4" t="str">
        <x:v>USVET_036</x:v>
      </x:c>
      <x:c r="B37" s="4" t="str">
        <x:v>principal</x:v>
      </x:c>
      <x:c r="C37" s="20"/>
      <x:c r="D37" s="20"/>
      <x:c r="E37" s="4"/>
      <x:c r="F37" s="4"/>
      <x:c r="G37" s="4"/>
      <x:c r="H37" s="4"/>
      <x:c r="I37" s="16"/>
      <x:c r="J37" s="4"/>
      <x:c r="K37" s="4"/>
    </x:row>
    <x:row r="38">
      <x:c r="A38" s="4" t="str">
        <x:v>USVET_037</x:v>
      </x:c>
      <x:c r="B38" s="4" t="str">
        <x:v>principal</x:v>
      </x:c>
      <x:c r="C38" s="20"/>
      <x:c r="D38" s="20"/>
      <x:c r="E38" s="4"/>
      <x:c r="F38" s="4"/>
      <x:c r="G38" s="4"/>
      <x:c r="H38" s="4"/>
      <x:c r="I38" s="16"/>
      <x:c r="J38" s="4"/>
      <x:c r="K38" s="4"/>
    </x:row>
    <x:row r="39">
      <x:c r="A39" s="4" t="str">
        <x:v>USVET_038</x:v>
      </x:c>
      <x:c r="B39" s="4" t="str">
        <x:v>principal</x:v>
      </x:c>
      <x:c r="C39" s="20"/>
      <x:c r="D39" s="20"/>
      <x:c r="E39" s="4"/>
      <x:c r="F39" s="4"/>
      <x:c r="G39" s="4"/>
      <x:c r="H39" s="4"/>
      <x:c r="I39" s="16"/>
      <x:c r="J39" s="4"/>
      <x:c r="K39" s="4"/>
    </x:row>
    <x:row r="40">
      <x:c r="A40" s="4" t="str">
        <x:v>USVET_039</x:v>
      </x:c>
      <x:c r="B40" s="4" t="str">
        <x:v>principal</x:v>
      </x:c>
      <x:c r="C40" s="20"/>
      <x:c r="D40" s="20"/>
      <x:c r="E40" s="4"/>
      <x:c r="F40" s="4"/>
      <x:c r="G40" s="4"/>
      <x:c r="H40" s="4"/>
      <x:c r="I40" s="16"/>
      <x:c r="J40" s="4"/>
      <x:c r="K40" s="4"/>
    </x:row>
    <x:row r="41">
      <x:c r="A41" s="4" t="str">
        <x:v>USVET_040</x:v>
      </x:c>
      <x:c r="B41" s="4" t="str">
        <x:v>principal</x:v>
      </x:c>
      <x:c r="C41" s="20"/>
      <x:c r="D41" s="20"/>
      <x:c r="E41" s="4"/>
      <x:c r="F41" s="4"/>
      <x:c r="G41" s="4"/>
      <x:c r="H41" s="4"/>
      <x:c r="I41" s="16"/>
      <x:c r="J41" s="4"/>
      <x:c r="K41" s="4"/>
    </x:row>
    <x:row r="42">
      <x:c r="A42" s="4" t="str">
        <x:v>USVET_041</x:v>
      </x:c>
      <x:c r="B42" s="4" t="str">
        <x:v>principal</x:v>
      </x:c>
      <x:c r="C42" s="20"/>
      <x:c r="D42" s="20"/>
      <x:c r="E42" s="4"/>
      <x:c r="F42" s="4"/>
      <x:c r="G42" s="4"/>
      <x:c r="H42" s="4"/>
      <x:c r="I42" s="16"/>
      <x:c r="J42" s="4"/>
      <x:c r="K42" s="4"/>
    </x:row>
    <x:row r="43">
      <x:c r="A43" s="4" t="str">
        <x:v>USVET_042</x:v>
      </x:c>
      <x:c r="B43" s="4" t="str">
        <x:v>principal</x:v>
      </x:c>
      <x:c r="C43" s="20"/>
      <x:c r="D43" s="20"/>
      <x:c r="E43" s="4"/>
      <x:c r="F43" s="4"/>
      <x:c r="G43" s="4"/>
      <x:c r="H43" s="4"/>
      <x:c r="I43" s="16"/>
      <x:c r="J43" s="4"/>
      <x:c r="K43" s="4"/>
    </x:row>
    <x:row r="44">
      <x:c r="A44" s="4" t="str">
        <x:v>USVET_043</x:v>
      </x:c>
      <x:c r="B44" s="4" t="str">
        <x:v>principal</x:v>
      </x:c>
      <x:c r="C44" s="20"/>
      <x:c r="D44" s="20"/>
      <x:c r="E44" s="4"/>
      <x:c r="F44" s="4"/>
      <x:c r="G44" s="4"/>
      <x:c r="H44" s="4"/>
      <x:c r="I44" s="16"/>
      <x:c r="J44" s="4"/>
      <x:c r="K44" s="4"/>
    </x:row>
    <x:row r="45">
      <x:c r="A45" s="4" t="str">
        <x:v>USVET_044</x:v>
      </x:c>
      <x:c r="B45" s="4" t="str">
        <x:v>principal</x:v>
      </x:c>
      <x:c r="C45" s="20"/>
      <x:c r="D45" s="20"/>
      <x:c r="E45" s="4"/>
      <x:c r="F45" s="4"/>
      <x:c r="G45" s="4"/>
      <x:c r="H45" s="4"/>
      <x:c r="I45" s="16"/>
      <x:c r="J45" s="4"/>
      <x:c r="K45" s="4"/>
    </x:row>
    <x:row r="46">
      <x:c r="A46" s="4" t="str">
        <x:v>USVET_045</x:v>
      </x:c>
      <x:c r="B46" s="4" t="str">
        <x:v>principal</x:v>
      </x:c>
      <x:c r="C46" s="20"/>
      <x:c r="D46" s="20"/>
      <x:c r="E46" s="4"/>
      <x:c r="F46" s="4"/>
      <x:c r="G46" s="4"/>
      <x:c r="H46" s="4"/>
      <x:c r="I46" s="16"/>
      <x:c r="J46" s="4"/>
      <x:c r="K46" s="4"/>
    </x:row>
    <x:row r="47">
      <x:c r="A47" s="4" t="str">
        <x:v>USVET_046</x:v>
      </x:c>
      <x:c r="B47" s="4" t="str">
        <x:v>principal</x:v>
      </x:c>
      <x:c r="C47" s="20"/>
      <x:c r="D47" s="20"/>
      <x:c r="E47" s="4"/>
      <x:c r="F47" s="4"/>
      <x:c r="G47" s="4"/>
      <x:c r="H47" s="4"/>
      <x:c r="I47" s="16"/>
      <x:c r="J47" s="4"/>
      <x:c r="K47" s="4"/>
    </x:row>
    <x:row r="48">
      <x:c r="A48" s="4" t="str">
        <x:v>USVET_047</x:v>
      </x:c>
      <x:c r="B48" s="4" t="str">
        <x:v>principal</x:v>
      </x:c>
      <x:c r="C48" s="20"/>
      <x:c r="D48" s="20"/>
      <x:c r="E48" s="4"/>
      <x:c r="F48" s="4"/>
      <x:c r="G48" s="4"/>
      <x:c r="H48" s="4"/>
      <x:c r="I48" s="16"/>
      <x:c r="J48" s="4"/>
      <x:c r="K48" s="4"/>
    </x:row>
    <x:row r="49">
      <x:c r="A49" s="4" t="str">
        <x:v>USVET_048</x:v>
      </x:c>
      <x:c r="B49" s="4" t="str">
        <x:v>principal</x:v>
      </x:c>
      <x:c r="C49" s="20"/>
      <x:c r="D49" s="20"/>
      <x:c r="E49" s="4"/>
      <x:c r="F49" s="4"/>
      <x:c r="G49" s="4"/>
      <x:c r="H49" s="4"/>
      <x:c r="I49" s="16"/>
      <x:c r="J49" s="4"/>
      <x:c r="K49" s="4"/>
    </x:row>
    <x:row r="50">
      <x:c r="A50" s="4" t="str">
        <x:v>USVET_049</x:v>
      </x:c>
      <x:c r="B50" s="4" t="str">
        <x:v>principal</x:v>
      </x:c>
      <x:c r="C50" s="20"/>
      <x:c r="D50" s="20"/>
      <x:c r="E50" s="4"/>
      <x:c r="F50" s="4"/>
      <x:c r="G50" s="4"/>
      <x:c r="H50" s="4"/>
      <x:c r="I50" s="16"/>
      <x:c r="J50" s="4"/>
      <x:c r="K50" s="4"/>
    </x:row>
    <x:row r="51">
      <x:c r="A51" s="4" t="str">
        <x:v>USVET_050</x:v>
      </x:c>
      <x:c r="B51" s="4" t="str">
        <x:v>principal</x:v>
      </x:c>
      <x:c r="C51" s="20"/>
      <x:c r="D51" s="20"/>
      <x:c r="E51" s="4"/>
      <x:c r="F51" s="4"/>
      <x:c r="G51" s="4"/>
      <x:c r="H51" s="4"/>
      <x:c r="I51" s="16"/>
      <x:c r="J51" s="4"/>
      <x:c r="K51" s="4"/>
    </x:row>
    <x:row r="52">
      <x:c r="A52" s="4" t="str">
        <x:v>USVET_051</x:v>
      </x:c>
      <x:c r="B52" s="4" t="str">
        <x:v>principal</x:v>
      </x:c>
      <x:c r="C52" s="20"/>
      <x:c r="D52" s="20"/>
      <x:c r="E52" s="4"/>
      <x:c r="F52" s="4"/>
      <x:c r="G52" s="4"/>
      <x:c r="H52" s="4"/>
      <x:c r="I52" s="16"/>
      <x:c r="J52" s="4"/>
      <x:c r="K52" s="4"/>
    </x:row>
    <x:row r="53">
      <x:c r="A53" s="4" t="str">
        <x:v>USVET_052</x:v>
      </x:c>
      <x:c r="B53" s="4" t="str">
        <x:v>principal</x:v>
      </x:c>
      <x:c r="C53" s="20"/>
      <x:c r="D53" s="20"/>
      <x:c r="E53" s="4"/>
      <x:c r="F53" s="4"/>
      <x:c r="G53" s="4"/>
      <x:c r="H53" s="4"/>
      <x:c r="I53" s="16"/>
      <x:c r="J53" s="4"/>
      <x:c r="K53" s="4"/>
    </x:row>
    <x:row r="54">
      <x:c r="A54" s="4" t="str">
        <x:v>USVET_053</x:v>
      </x:c>
      <x:c r="B54" s="4" t="str">
        <x:v>principal</x:v>
      </x:c>
      <x:c r="C54" s="20"/>
      <x:c r="D54" s="20"/>
      <x:c r="E54" s="4"/>
      <x:c r="F54" s="4"/>
      <x:c r="G54" s="4"/>
      <x:c r="H54" s="4"/>
      <x:c r="I54" s="16"/>
      <x:c r="J54" s="4"/>
      <x:c r="K54" s="4"/>
    </x:row>
    <x:row r="55">
      <x:c r="A55" s="4" t="str">
        <x:v>USVET_054</x:v>
      </x:c>
      <x:c r="B55" s="4" t="str">
        <x:v>principal</x:v>
      </x:c>
      <x:c r="C55" s="20"/>
      <x:c r="D55" s="20"/>
      <x:c r="E55" s="4"/>
      <x:c r="F55" s="4"/>
      <x:c r="G55" s="4"/>
      <x:c r="H55" s="4"/>
      <x:c r="I55" s="16"/>
      <x:c r="J55" s="4"/>
      <x:c r="K55" s="4"/>
    </x:row>
    <x:row r="56">
      <x:c r="A56" s="4" t="str">
        <x:v>USVET_055</x:v>
      </x:c>
      <x:c r="B56" s="4" t="str">
        <x:v>principal</x:v>
      </x:c>
      <x:c r="C56" s="20"/>
      <x:c r="D56" s="20"/>
      <x:c r="E56" s="4"/>
      <x:c r="F56" s="4"/>
      <x:c r="G56" s="4"/>
      <x:c r="H56" s="4"/>
      <x:c r="I56" s="16"/>
      <x:c r="J56" s="4"/>
      <x:c r="K56" s="4"/>
    </x:row>
    <x:row r="57">
      <x:c r="A57" s="4" t="str">
        <x:v>USVET_056</x:v>
      </x:c>
      <x:c r="B57" s="4" t="str">
        <x:v>principal</x:v>
      </x:c>
      <x:c r="C57" s="20"/>
      <x:c r="D57" s="20"/>
      <x:c r="E57" s="4"/>
      <x:c r="F57" s="4"/>
      <x:c r="G57" s="4"/>
      <x:c r="H57" s="4"/>
      <x:c r="I57" s="16"/>
      <x:c r="J57" s="4"/>
      <x:c r="K57" s="4"/>
    </x:row>
    <x:row r="58">
      <x:c r="A58" s="4" t="str">
        <x:v>USVET_057</x:v>
      </x:c>
      <x:c r="B58" s="4" t="str">
        <x:v>principal</x:v>
      </x:c>
      <x:c r="C58" s="20"/>
      <x:c r="D58" s="20"/>
      <x:c r="E58" s="4"/>
      <x:c r="F58" s="4"/>
      <x:c r="G58" s="4"/>
      <x:c r="H58" s="4"/>
      <x:c r="I58" s="16"/>
      <x:c r="J58" s="4"/>
      <x:c r="K58" s="4"/>
    </x:row>
    <x:row r="59">
      <x:c r="A59" s="4" t="str">
        <x:v>USVET_058</x:v>
      </x:c>
      <x:c r="B59" s="4" t="str">
        <x:v>principal</x:v>
      </x:c>
      <x:c r="C59" s="20"/>
      <x:c r="D59" s="20"/>
      <x:c r="E59" s="4"/>
      <x:c r="F59" s="4"/>
      <x:c r="G59" s="4"/>
      <x:c r="H59" s="4"/>
      <x:c r="I59" s="16"/>
      <x:c r="J59" s="4"/>
      <x:c r="K59" s="4"/>
    </x:row>
    <x:row r="60">
      <x:c r="A60" s="4" t="str">
        <x:v>USVET_059</x:v>
      </x:c>
      <x:c r="B60" s="4" t="str">
        <x:v>principal</x:v>
      </x:c>
      <x:c r="C60" s="20"/>
      <x:c r="D60" s="20"/>
      <x:c r="E60" s="4"/>
      <x:c r="F60" s="4"/>
      <x:c r="G60" s="4"/>
      <x:c r="H60" s="4"/>
      <x:c r="I60" s="16"/>
      <x:c r="J60" s="4"/>
      <x:c r="K60" s="4"/>
    </x:row>
    <x:row r="61">
      <x:c r="A61" s="4" t="str">
        <x:v>USVET_060</x:v>
      </x:c>
      <x:c r="B61" s="4" t="str">
        <x:v>principal</x:v>
      </x:c>
      <x:c r="C61" s="20"/>
      <x:c r="D61" s="20"/>
      <x:c r="E61" s="4"/>
      <x:c r="F61" s="4"/>
      <x:c r="G61" s="4"/>
      <x:c r="H61" s="4"/>
      <x:c r="I61" s="16"/>
      <x:c r="J61" s="4"/>
      <x:c r="K61" s="4"/>
    </x:row>
    <x:row r="62">
      <x:c r="A62" s="4" t="str">
        <x:v>USVET_061</x:v>
      </x:c>
      <x:c r="B62" s="4" t="str">
        <x:v>principal</x:v>
      </x:c>
      <x:c r="C62" s="20"/>
      <x:c r="D62" s="20"/>
      <x:c r="E62" s="4"/>
      <x:c r="F62" s="4"/>
      <x:c r="G62" s="4"/>
      <x:c r="H62" s="4"/>
      <x:c r="I62" s="16"/>
      <x:c r="J62" s="4"/>
      <x:c r="K62" s="4"/>
    </x:row>
    <x:row r="63">
      <x:c r="A63" s="4" t="str">
        <x:v>USVET_062</x:v>
      </x:c>
      <x:c r="B63" s="4" t="str">
        <x:v>principal</x:v>
      </x:c>
      <x:c r="C63" s="20"/>
      <x:c r="D63" s="20"/>
      <x:c r="E63" s="4"/>
      <x:c r="F63" s="4"/>
      <x:c r="G63" s="4"/>
      <x:c r="H63" s="4"/>
      <x:c r="I63" s="16"/>
      <x:c r="J63" s="4"/>
      <x:c r="K63" s="4"/>
    </x:row>
    <x:row r="64">
      <x:c r="A64" s="4" t="str">
        <x:v>USVET_063</x:v>
      </x:c>
      <x:c r="B64" s="4" t="str">
        <x:v>principal</x:v>
      </x:c>
      <x:c r="C64" s="20"/>
      <x:c r="D64" s="20"/>
      <x:c r="E64" s="4"/>
      <x:c r="F64" s="4"/>
      <x:c r="G64" s="4"/>
      <x:c r="H64" s="4"/>
      <x:c r="I64" s="16"/>
      <x:c r="J64" s="4"/>
      <x:c r="K64" s="4"/>
    </x:row>
    <x:row r="65">
      <x:c r="A65" s="4" t="str">
        <x:v>USVET_064</x:v>
      </x:c>
      <x:c r="B65" s="4" t="str">
        <x:v>principal</x:v>
      </x:c>
      <x:c r="C65" s="20"/>
      <x:c r="D65" s="20"/>
      <x:c r="E65" s="4"/>
      <x:c r="F65" s="4"/>
      <x:c r="G65" s="4"/>
      <x:c r="H65" s="4"/>
      <x:c r="I65" s="16"/>
      <x:c r="J65" s="4"/>
      <x:c r="K65" s="4"/>
    </x:row>
    <x:row r="66">
      <x:c r="A66" s="4" t="str">
        <x:v>USVET_065</x:v>
      </x:c>
      <x:c r="B66" s="4" t="str">
        <x:v>principal</x:v>
      </x:c>
      <x:c r="C66" s="20"/>
      <x:c r="D66" s="20"/>
      <x:c r="E66" s="4"/>
      <x:c r="F66" s="4"/>
      <x:c r="G66" s="4"/>
      <x:c r="H66" s="4"/>
      <x:c r="I66" s="16"/>
      <x:c r="J66" s="4"/>
      <x:c r="K66" s="4"/>
    </x:row>
    <x:row r="67">
      <x:c r="A67" s="4" t="str">
        <x:v>USVET_066</x:v>
      </x:c>
      <x:c r="B67" s="4" t="str">
        <x:v>principal</x:v>
      </x:c>
      <x:c r="C67" s="20"/>
      <x:c r="D67" s="20"/>
      <x:c r="E67" s="4"/>
      <x:c r="F67" s="4"/>
      <x:c r="G67" s="4"/>
      <x:c r="H67" s="4"/>
      <x:c r="I67" s="16"/>
      <x:c r="J67" s="4"/>
      <x:c r="K67" s="4"/>
    </x:row>
    <x:row r="68">
      <x:c r="A68" s="4" t="str">
        <x:v>USVET_067</x:v>
      </x:c>
      <x:c r="B68" s="4" t="str">
        <x:v>principal</x:v>
      </x:c>
      <x:c r="C68" s="20"/>
      <x:c r="D68" s="20"/>
      <x:c r="E68" s="4"/>
      <x:c r="F68" s="4"/>
      <x:c r="G68" s="4"/>
      <x:c r="H68" s="4"/>
      <x:c r="I68" s="16"/>
      <x:c r="J68" s="4"/>
      <x:c r="K68" s="4"/>
    </x:row>
    <x:row r="69">
      <x:c r="A69" s="4" t="str">
        <x:v>USVET_068</x:v>
      </x:c>
      <x:c r="B69" s="4" t="str">
        <x:v>principal</x:v>
      </x:c>
      <x:c r="C69" s="20"/>
      <x:c r="D69" s="20"/>
      <x:c r="E69" s="4"/>
      <x:c r="F69" s="4"/>
      <x:c r="G69" s="4"/>
      <x:c r="H69" s="4"/>
      <x:c r="I69" s="16"/>
      <x:c r="J69" s="4"/>
      <x:c r="K69" s="4"/>
    </x:row>
    <x:row r="70">
      <x:c r="A70" s="4" t="str">
        <x:v>USVET_069</x:v>
      </x:c>
      <x:c r="B70" s="4" t="str">
        <x:v>principal</x:v>
      </x:c>
      <x:c r="C70" s="20"/>
      <x:c r="D70" s="20"/>
      <x:c r="E70" s="4"/>
      <x:c r="F70" s="4"/>
      <x:c r="G70" s="4"/>
      <x:c r="H70" s="4"/>
      <x:c r="I70" s="16"/>
      <x:c r="J70" s="4"/>
      <x:c r="K70" s="4"/>
    </x:row>
    <x:row r="71">
      <x:c r="A71" s="4" t="str">
        <x:v>USVET_070</x:v>
      </x:c>
      <x:c r="B71" s="4" t="str">
        <x:v>principal</x:v>
      </x:c>
      <x:c r="C71" s="20"/>
      <x:c r="D71" s="20"/>
      <x:c r="E71" s="4"/>
      <x:c r="F71" s="4"/>
      <x:c r="G71" s="4"/>
      <x:c r="H71" s="4"/>
      <x:c r="I71" s="16"/>
      <x:c r="J71" s="4"/>
      <x:c r="K71" s="4"/>
    </x:row>
    <x:row r="72">
      <x:c r="A72" s="4" t="str">
        <x:v>USVET_071</x:v>
      </x:c>
      <x:c r="B72" s="4" t="str">
        <x:v>principal</x:v>
      </x:c>
      <x:c r="C72" s="20"/>
      <x:c r="D72" s="20"/>
      <x:c r="E72" s="4"/>
      <x:c r="F72" s="4"/>
      <x:c r="G72" s="4"/>
      <x:c r="H72" s="4"/>
      <x:c r="I72" s="16"/>
      <x:c r="J72" s="4"/>
      <x:c r="K72" s="4"/>
    </x:row>
    <x:row r="73">
      <x:c r="A73" s="4" t="str">
        <x:v>USVET_072</x:v>
      </x:c>
      <x:c r="B73" s="4" t="str">
        <x:v>principal</x:v>
      </x:c>
      <x:c r="C73" s="20"/>
      <x:c r="D73" s="20"/>
      <x:c r="E73" s="4"/>
      <x:c r="F73" s="4"/>
      <x:c r="G73" s="4"/>
      <x:c r="H73" s="4"/>
      <x:c r="I73" s="16"/>
      <x:c r="J73" s="4"/>
      <x:c r="K73" s="4"/>
    </x:row>
    <x:row r="74">
      <x:c r="A74" s="4" t="str">
        <x:v>USVET_073</x:v>
      </x:c>
      <x:c r="B74" s="4" t="str">
        <x:v>principal</x:v>
      </x:c>
      <x:c r="C74" s="20"/>
      <x:c r="D74" s="20"/>
      <x:c r="E74" s="4"/>
      <x:c r="F74" s="4"/>
      <x:c r="G74" s="4"/>
      <x:c r="H74" s="4"/>
      <x:c r="I74" s="16"/>
      <x:c r="J74" s="4"/>
      <x:c r="K74" s="4"/>
    </x:row>
    <x:row r="75">
      <x:c r="A75" s="4" t="str">
        <x:v>USVET_074</x:v>
      </x:c>
      <x:c r="B75" s="4" t="str">
        <x:v>principal</x:v>
      </x:c>
      <x:c r="C75" s="20"/>
      <x:c r="D75" s="20"/>
      <x:c r="E75" s="4"/>
      <x:c r="F75" s="4"/>
      <x:c r="G75" s="4"/>
      <x:c r="H75" s="4"/>
      <x:c r="I75" s="16"/>
      <x:c r="J75" s="4"/>
      <x:c r="K75" s="4"/>
    </x:row>
    <x:row r="76">
      <x:c r="A76" s="4" t="str">
        <x:v>USVET_075</x:v>
      </x:c>
      <x:c r="B76" s="4" t="str">
        <x:v>principal</x:v>
      </x:c>
      <x:c r="C76" s="20"/>
      <x:c r="D76" s="20"/>
      <x:c r="E76" s="4"/>
      <x:c r="F76" s="4"/>
      <x:c r="G76" s="4"/>
      <x:c r="H76" s="4"/>
      <x:c r="I76" s="16"/>
      <x:c r="J76" s="4"/>
      <x:c r="K76" s="4"/>
    </x:row>
    <x:row r="77">
      <x:c r="A77" s="4" t="str">
        <x:v>USVET_076</x:v>
      </x:c>
      <x:c r="B77" s="4" t="str">
        <x:v>principal</x:v>
      </x:c>
      <x:c r="C77" s="20"/>
      <x:c r="D77" s="20"/>
      <x:c r="E77" s="4"/>
      <x:c r="F77" s="4"/>
      <x:c r="G77" s="4"/>
      <x:c r="H77" s="4"/>
      <x:c r="I77" s="16"/>
      <x:c r="J77" s="4"/>
      <x:c r="K77" s="4"/>
    </x:row>
    <x:row r="78">
      <x:c r="A78" s="4" t="str">
        <x:v>USVET_077</x:v>
      </x:c>
      <x:c r="B78" s="4" t="str">
        <x:v>principal</x:v>
      </x:c>
      <x:c r="C78" s="20"/>
      <x:c r="D78" s="20"/>
      <x:c r="E78" s="4"/>
      <x:c r="F78" s="4"/>
      <x:c r="G78" s="4"/>
      <x:c r="H78" s="4"/>
      <x:c r="I78" s="16"/>
      <x:c r="J78" s="4"/>
      <x:c r="K78" s="4"/>
    </x:row>
    <x:row r="79">
      <x:c r="A79" s="4" t="str">
        <x:v>USVET_078</x:v>
      </x:c>
      <x:c r="B79" s="4" t="str">
        <x:v>principal</x:v>
      </x:c>
      <x:c r="C79" s="20"/>
      <x:c r="D79" s="20"/>
      <x:c r="E79" s="4"/>
      <x:c r="F79" s="4"/>
      <x:c r="G79" s="4"/>
      <x:c r="H79" s="4"/>
      <x:c r="I79" s="16"/>
      <x:c r="J79" s="4"/>
      <x:c r="K79" s="4"/>
    </x:row>
    <x:row r="80">
      <x:c r="A80" s="4" t="str">
        <x:v>USVET_079</x:v>
      </x:c>
      <x:c r="B80" s="4" t="str">
        <x:v>principal</x:v>
      </x:c>
      <x:c r="C80" s="20"/>
      <x:c r="D80" s="20"/>
      <x:c r="E80" s="4"/>
      <x:c r="F80" s="4"/>
      <x:c r="G80" s="4"/>
      <x:c r="H80" s="4"/>
      <x:c r="I80" s="16"/>
      <x:c r="J80" s="4"/>
      <x:c r="K80" s="4"/>
    </x:row>
    <x:row r="81">
      <x:c r="A81" s="4" t="str">
        <x:v>USVET_080</x:v>
      </x:c>
      <x:c r="B81" s="4" t="str">
        <x:v>principal</x:v>
      </x:c>
      <x:c r="C81" s="20"/>
      <x:c r="D81" s="20"/>
      <x:c r="E81" s="4"/>
      <x:c r="F81" s="4"/>
      <x:c r="G81" s="4"/>
      <x:c r="H81" s="4"/>
      <x:c r="I81" s="16"/>
      <x:c r="J81" s="4"/>
      <x:c r="K81" s="4"/>
    </x:row>
    <x:row r="82">
      <x:c r="A82" s="4" t="str">
        <x:v>USVET_081</x:v>
      </x:c>
      <x:c r="B82" s="4" t="str">
        <x:v>principal</x:v>
      </x:c>
      <x:c r="C82" s="20"/>
      <x:c r="D82" s="20"/>
      <x:c r="E82" s="4"/>
      <x:c r="F82" s="4"/>
      <x:c r="G82" s="4"/>
      <x:c r="H82" s="4"/>
      <x:c r="I82" s="16"/>
      <x:c r="J82" s="4"/>
      <x:c r="K82" s="4"/>
    </x:row>
    <x:row r="83">
      <x:c r="A83" s="4" t="str">
        <x:v>USVET_082</x:v>
      </x:c>
      <x:c r="B83" s="4" t="str">
        <x:v>principal</x:v>
      </x:c>
      <x:c r="C83" s="20"/>
      <x:c r="D83" s="20"/>
      <x:c r="E83" s="4"/>
      <x:c r="F83" s="4"/>
      <x:c r="G83" s="4"/>
      <x:c r="H83" s="4"/>
      <x:c r="I83" s="16"/>
      <x:c r="J83" s="4"/>
      <x:c r="K83" s="4"/>
    </x:row>
    <x:row r="84">
      <x:c r="A84" s="4" t="str">
        <x:v>USVET_083</x:v>
      </x:c>
      <x:c r="B84" s="4" t="str">
        <x:v>principal</x:v>
      </x:c>
      <x:c r="C84" s="20"/>
      <x:c r="D84" s="20"/>
      <x:c r="E84" s="4"/>
      <x:c r="F84" s="4"/>
      <x:c r="G84" s="4"/>
      <x:c r="H84" s="4"/>
      <x:c r="I84" s="16"/>
      <x:c r="J84" s="4"/>
      <x:c r="K84" s="4"/>
    </x:row>
    <x:row r="85">
      <x:c r="A85" s="4" t="str">
        <x:v>USVET_084</x:v>
      </x:c>
      <x:c r="B85" s="4" t="str">
        <x:v>principal</x:v>
      </x:c>
      <x:c r="C85" s="20"/>
      <x:c r="D85" s="20"/>
      <x:c r="E85" s="4"/>
      <x:c r="F85" s="4"/>
      <x:c r="G85" s="4"/>
      <x:c r="H85" s="4"/>
      <x:c r="I85" s="16"/>
      <x:c r="J85" s="4"/>
      <x:c r="K85" s="4"/>
    </x:row>
    <x:row r="86">
      <x:c r="A86" s="4" t="str">
        <x:v>USVET_085</x:v>
      </x:c>
      <x:c r="B86" s="4" t="str">
        <x:v>principal</x:v>
      </x:c>
      <x:c r="C86" s="20"/>
      <x:c r="D86" s="20"/>
      <x:c r="E86" s="4"/>
      <x:c r="F86" s="4"/>
      <x:c r="G86" s="4"/>
      <x:c r="H86" s="4"/>
      <x:c r="I86" s="16"/>
      <x:c r="J86" s="4"/>
      <x:c r="K86" s="4"/>
    </x:row>
    <x:row r="87">
      <x:c r="A87" s="4" t="str">
        <x:v>USVET_086</x:v>
      </x:c>
      <x:c r="B87" s="4" t="str">
        <x:v>principal</x:v>
      </x:c>
      <x:c r="C87" s="20"/>
      <x:c r="D87" s="20"/>
      <x:c r="E87" s="4"/>
      <x:c r="F87" s="4"/>
      <x:c r="G87" s="4"/>
      <x:c r="H87" s="4"/>
      <x:c r="I87" s="16"/>
      <x:c r="J87" s="4"/>
      <x:c r="K87" s="4"/>
    </x:row>
    <x:row r="88">
      <x:c r="A88" s="4" t="str">
        <x:v>USVET_087</x:v>
      </x:c>
      <x:c r="B88" s="4" t="str">
        <x:v>principal</x:v>
      </x:c>
      <x:c r="C88" s="20"/>
      <x:c r="D88" s="20"/>
      <x:c r="E88" s="4"/>
      <x:c r="F88" s="4"/>
      <x:c r="G88" s="4"/>
      <x:c r="H88" s="4"/>
      <x:c r="I88" s="16"/>
      <x:c r="J88" s="4"/>
      <x:c r="K88" s="4"/>
    </x:row>
    <x:row r="89">
      <x:c r="A89" s="4" t="str">
        <x:v>USVET_088</x:v>
      </x:c>
      <x:c r="B89" s="4" t="str">
        <x:v>principal</x:v>
      </x:c>
      <x:c r="C89" s="20"/>
      <x:c r="D89" s="20"/>
      <x:c r="E89" s="4"/>
      <x:c r="F89" s="4"/>
      <x:c r="G89" s="4"/>
      <x:c r="H89" s="4"/>
      <x:c r="I89" s="16"/>
      <x:c r="J89" s="4"/>
      <x:c r="K89" s="4"/>
    </x:row>
    <x:row r="90">
      <x:c r="A90" s="4" t="str">
        <x:v>USVET_089</x:v>
      </x:c>
      <x:c r="B90" s="4" t="str">
        <x:v>principal</x:v>
      </x:c>
      <x:c r="C90" s="20"/>
      <x:c r="D90" s="20"/>
      <x:c r="E90" s="4"/>
      <x:c r="F90" s="4"/>
      <x:c r="G90" s="4"/>
      <x:c r="H90" s="4"/>
      <x:c r="I90" s="16"/>
      <x:c r="J90" s="4"/>
      <x:c r="K90" s="4"/>
    </x:row>
    <x:row r="91">
      <x:c r="A91" s="4" t="str">
        <x:v>USVET_090</x:v>
      </x:c>
      <x:c r="B91" s="4" t="str">
        <x:v>principal</x:v>
      </x:c>
      <x:c r="C91" s="20"/>
      <x:c r="D91" s="20"/>
      <x:c r="E91" s="4"/>
      <x:c r="F91" s="4"/>
      <x:c r="G91" s="4"/>
      <x:c r="H91" s="4"/>
      <x:c r="I91" s="16"/>
      <x:c r="J91" s="4"/>
      <x:c r="K91" s="4"/>
    </x:row>
    <x:row r="92">
      <x:c r="A92" s="4" t="str">
        <x:v>USVET_091</x:v>
      </x:c>
      <x:c r="B92" s="4" t="str">
        <x:v>principal</x:v>
      </x:c>
      <x:c r="C92" s="20"/>
      <x:c r="D92" s="20"/>
      <x:c r="E92" s="4"/>
      <x:c r="F92" s="4"/>
      <x:c r="G92" s="4"/>
      <x:c r="H92" s="4"/>
      <x:c r="I92" s="16"/>
      <x:c r="J92" s="4"/>
      <x:c r="K92" s="4"/>
    </x:row>
    <x:row r="93">
      <x:c r="A93" s="4" t="str">
        <x:v>USVET_092</x:v>
      </x:c>
      <x:c r="B93" s="4" t="str">
        <x:v>principal</x:v>
      </x:c>
      <x:c r="C93" s="20"/>
      <x:c r="D93" s="20"/>
      <x:c r="E93" s="4"/>
      <x:c r="F93" s="4"/>
      <x:c r="G93" s="4"/>
      <x:c r="H93" s="4"/>
      <x:c r="I93" s="16"/>
      <x:c r="J93" s="4"/>
      <x:c r="K93" s="4"/>
    </x:row>
    <x:row r="94">
      <x:c r="A94" s="4" t="str">
        <x:v>USVET_093</x:v>
      </x:c>
      <x:c r="B94" s="4" t="str">
        <x:v>principal</x:v>
      </x:c>
      <x:c r="C94" s="20"/>
      <x:c r="D94" s="20"/>
      <x:c r="E94" s="4"/>
      <x:c r="F94" s="4"/>
      <x:c r="G94" s="4"/>
      <x:c r="H94" s="4"/>
      <x:c r="I94" s="16"/>
      <x:c r="J94" s="4"/>
      <x:c r="K94" s="4"/>
    </x:row>
    <x:row r="95">
      <x:c r="A95" s="4" t="str">
        <x:v>USVET_094</x:v>
      </x:c>
      <x:c r="B95" s="4" t="str">
        <x:v>principal</x:v>
      </x:c>
      <x:c r="C95" s="20"/>
      <x:c r="D95" s="20"/>
      <x:c r="E95" s="4"/>
      <x:c r="F95" s="4"/>
      <x:c r="G95" s="4"/>
      <x:c r="H95" s="4"/>
      <x:c r="I95" s="16"/>
      <x:c r="J95" s="4"/>
      <x:c r="K95" s="4"/>
    </x:row>
    <x:row r="96">
      <x:c r="A96" s="4" t="str">
        <x:v>USVET_095</x:v>
      </x:c>
      <x:c r="B96" s="4" t="str">
        <x:v>principal</x:v>
      </x:c>
      <x:c r="C96" s="20"/>
      <x:c r="D96" s="20"/>
      <x:c r="E96" s="4"/>
      <x:c r="F96" s="4"/>
      <x:c r="G96" s="4"/>
      <x:c r="H96" s="4"/>
      <x:c r="I96" s="16"/>
      <x:c r="J96" s="4"/>
      <x:c r="K96" s="4"/>
    </x:row>
    <x:row r="97">
      <x:c r="A97" s="4" t="str">
        <x:v>USVET_096</x:v>
      </x:c>
      <x:c r="B97" s="4" t="str">
        <x:v>principal</x:v>
      </x:c>
      <x:c r="C97" s="20"/>
      <x:c r="D97" s="20"/>
      <x:c r="E97" s="4"/>
      <x:c r="F97" s="4"/>
      <x:c r="G97" s="4"/>
      <x:c r="H97" s="4"/>
      <x:c r="I97" s="16"/>
      <x:c r="J97" s="4"/>
      <x:c r="K97" s="4"/>
    </x:row>
    <x:row r="98">
      <x:c r="A98" s="4" t="str">
        <x:v>USVET_097</x:v>
      </x:c>
      <x:c r="B98" s="4" t="str">
        <x:v>principal</x:v>
      </x:c>
      <x:c r="C98" s="20"/>
      <x:c r="D98" s="20"/>
      <x:c r="E98" s="4"/>
      <x:c r="F98" s="4"/>
      <x:c r="G98" s="4"/>
      <x:c r="H98" s="4"/>
      <x:c r="I98" s="16"/>
      <x:c r="J98" s="4"/>
      <x:c r="K98" s="4"/>
    </x:row>
    <x:row r="99">
      <x:c r="A99" s="4" t="str">
        <x:v>USVET_098</x:v>
      </x:c>
      <x:c r="B99" s="4" t="str">
        <x:v>principal</x:v>
      </x:c>
      <x:c r="C99" s="20"/>
      <x:c r="D99" s="20"/>
      <x:c r="E99" s="4"/>
      <x:c r="F99" s="4"/>
      <x:c r="G99" s="4"/>
      <x:c r="H99" s="4"/>
      <x:c r="I99" s="16"/>
      <x:c r="J99" s="4"/>
      <x:c r="K99" s="4"/>
    </x:row>
    <x:row r="100">
      <x:c r="A100" s="4" t="str">
        <x:v>USVET_099</x:v>
      </x:c>
      <x:c r="B100" s="4" t="str">
        <x:v>principal</x:v>
      </x:c>
      <x:c r="C100" s="20"/>
      <x:c r="D100" s="20"/>
      <x:c r="E100" s="4"/>
      <x:c r="F100" s="4"/>
      <x:c r="G100" s="4"/>
      <x:c r="H100" s="4"/>
      <x:c r="I100" s="16"/>
      <x:c r="J100" s="4"/>
      <x:c r="K100" s="4"/>
    </x:row>
    <x:row r="101">
      <x:c r="A101" s="4" t="str">
        <x:v>USVET_100</x:v>
      </x:c>
      <x:c r="B101" s="4" t="str">
        <x:v>principal</x:v>
      </x:c>
      <x:c r="C101" s="20"/>
      <x:c r="D101" s="20"/>
      <x:c r="E101" s="4"/>
      <x:c r="F101" s="4"/>
      <x:c r="G101" s="4"/>
      <x:c r="H101" s="4"/>
      <x:c r="I101" s="16"/>
      <x:c r="J101" s="4"/>
      <x:c r="K101" s="4"/>
    </x:row>
    <x:row r="102">
      <x:c r="A102" s="4" t="str">
        <x:v>USVET_101</x:v>
      </x:c>
      <x:c r="B102" s="4" t="str">
        <x:v>principal</x:v>
      </x:c>
      <x:c r="C102" s="20"/>
      <x:c r="D102" s="20"/>
      <x:c r="E102" s="4"/>
      <x:c r="F102" s="4"/>
      <x:c r="G102" s="4"/>
      <x:c r="H102" s="4"/>
      <x:c r="I102" s="16"/>
      <x:c r="J102" s="4"/>
      <x:c r="K102" s="4"/>
    </x:row>
    <x:row r="103">
      <x:c r="A103" s="4" t="str">
        <x:v>USVET_102</x:v>
      </x:c>
      <x:c r="B103" s="4" t="str">
        <x:v>principal</x:v>
      </x:c>
      <x:c r="C103" s="20"/>
      <x:c r="D103" s="20"/>
      <x:c r="E103" s="4"/>
      <x:c r="F103" s="4"/>
      <x:c r="G103" s="4"/>
      <x:c r="H103" s="4"/>
      <x:c r="I103" s="16"/>
      <x:c r="J103" s="4"/>
      <x:c r="K103" s="4"/>
    </x:row>
    <x:row r="104">
      <x:c r="A104" s="4" t="str">
        <x:v>USVET_103</x:v>
      </x:c>
      <x:c r="B104" s="4" t="str">
        <x:v>principal</x:v>
      </x:c>
      <x:c r="C104" s="20"/>
      <x:c r="D104" s="20"/>
      <x:c r="E104" s="4"/>
      <x:c r="F104" s="4"/>
      <x:c r="G104" s="4"/>
      <x:c r="H104" s="4"/>
      <x:c r="I104" s="16"/>
      <x:c r="J104" s="4"/>
      <x:c r="K104" s="4"/>
    </x:row>
    <x:row r="105">
      <x:c r="A105" s="4" t="str">
        <x:v>USVET_104</x:v>
      </x:c>
      <x:c r="B105" s="4" t="str">
        <x:v>principal</x:v>
      </x:c>
      <x:c r="C105" s="20"/>
      <x:c r="D105" s="20"/>
      <x:c r="E105" s="4"/>
      <x:c r="F105" s="4"/>
      <x:c r="G105" s="4"/>
      <x:c r="H105" s="4"/>
      <x:c r="I105" s="16"/>
      <x:c r="J105" s="4"/>
      <x:c r="K105" s="4"/>
    </x:row>
    <x:row r="106">
      <x:c r="A106" s="4" t="str">
        <x:v>USVET_105</x:v>
      </x:c>
      <x:c r="B106" s="4" t="str">
        <x:v>principal</x:v>
      </x:c>
      <x:c r="C106" s="20"/>
      <x:c r="D106" s="20"/>
      <x:c r="E106" s="4"/>
      <x:c r="F106" s="4"/>
      <x:c r="G106" s="4"/>
      <x:c r="H106" s="4"/>
      <x:c r="I106" s="16"/>
      <x:c r="J106" s="4"/>
      <x:c r="K106" s="4"/>
    </x:row>
    <x:row r="107">
      <x:c r="A107" s="4" t="str">
        <x:v>USVET_106</x:v>
      </x:c>
      <x:c r="B107" s="4" t="str">
        <x:v>principal</x:v>
      </x:c>
      <x:c r="C107" s="20"/>
      <x:c r="D107" s="20"/>
      <x:c r="E107" s="4"/>
      <x:c r="F107" s="4"/>
      <x:c r="G107" s="4"/>
      <x:c r="H107" s="4"/>
      <x:c r="I107" s="16"/>
      <x:c r="J107" s="4"/>
      <x:c r="K107" s="4"/>
    </x:row>
    <x:row r="108">
      <x:c r="A108" s="4" t="str">
        <x:v>USVET_107</x:v>
      </x:c>
      <x:c r="B108" s="4" t="str">
        <x:v>principal</x:v>
      </x:c>
      <x:c r="C108" s="20"/>
      <x:c r="D108" s="20"/>
      <x:c r="E108" s="4"/>
      <x:c r="F108" s="4"/>
      <x:c r="G108" s="4"/>
      <x:c r="H108" s="4"/>
      <x:c r="I108" s="16"/>
      <x:c r="J108" s="4"/>
      <x:c r="K108" s="4"/>
    </x:row>
    <x:row r="109">
      <x:c r="A109" s="4" t="str">
        <x:v>USVET_108</x:v>
      </x:c>
      <x:c r="B109" s="4" t="str">
        <x:v>principal</x:v>
      </x:c>
      <x:c r="C109" s="20"/>
      <x:c r="D109" s="20"/>
      <x:c r="E109" s="4"/>
      <x:c r="F109" s="4"/>
      <x:c r="G109" s="4"/>
      <x:c r="H109" s="4"/>
      <x:c r="I109" s="16"/>
      <x:c r="J109" s="4"/>
      <x:c r="K109" s="4"/>
    </x:row>
    <x:row r="110">
      <x:c r="A110" s="4" t="str">
        <x:v>USVET_109</x:v>
      </x:c>
      <x:c r="B110" s="4" t="str">
        <x:v>principal</x:v>
      </x:c>
      <x:c r="C110" s="20"/>
      <x:c r="D110" s="20"/>
      <x:c r="E110" s="4"/>
      <x:c r="F110" s="4"/>
      <x:c r="G110" s="4"/>
      <x:c r="H110" s="4"/>
      <x:c r="I110" s="16"/>
      <x:c r="J110" s="4"/>
      <x:c r="K110" s="4"/>
    </x:row>
    <x:row r="111">
      <x:c r="A111" s="4" t="str">
        <x:v>USVET_110</x:v>
      </x:c>
      <x:c r="B111" s="4" t="str">
        <x:v>principal</x:v>
      </x:c>
      <x:c r="C111" s="20"/>
      <x:c r="D111" s="20"/>
      <x:c r="E111" s="4"/>
      <x:c r="F111" s="4"/>
      <x:c r="G111" s="4"/>
      <x:c r="H111" s="4"/>
      <x:c r="I111" s="16"/>
      <x:c r="J111" s="4"/>
      <x:c r="K111" s="4"/>
    </x:row>
    <x:row r="112">
      <x:c r="A112" s="4" t="str">
        <x:v>USVET_111</x:v>
      </x:c>
      <x:c r="B112" s="4" t="str">
        <x:v>principal</x:v>
      </x:c>
      <x:c r="C112" s="20"/>
      <x:c r="D112" s="20"/>
      <x:c r="E112" s="4"/>
      <x:c r="F112" s="4"/>
      <x:c r="G112" s="4"/>
      <x:c r="H112" s="4"/>
      <x:c r="I112" s="16"/>
      <x:c r="J112" s="4"/>
      <x:c r="K112" s="4"/>
    </x:row>
    <x:row r="113">
      <x:c r="A113" s="4" t="str">
        <x:v>USVET_112</x:v>
      </x:c>
      <x:c r="B113" s="4" t="str">
        <x:v>principal</x:v>
      </x:c>
      <x:c r="C113" s="20"/>
      <x:c r="D113" s="20"/>
      <x:c r="E113" s="4"/>
      <x:c r="F113" s="4"/>
      <x:c r="G113" s="4"/>
      <x:c r="H113" s="4"/>
      <x:c r="I113" s="16"/>
      <x:c r="J113" s="4"/>
      <x:c r="K113" s="4"/>
    </x:row>
    <x:row r="114">
      <x:c r="A114" s="4" t="str">
        <x:v>USVET_113</x:v>
      </x:c>
      <x:c r="B114" s="4" t="str">
        <x:v>principal</x:v>
      </x:c>
      <x:c r="C114" s="20"/>
      <x:c r="D114" s="20"/>
      <x:c r="E114" s="4"/>
      <x:c r="F114" s="4"/>
      <x:c r="G114" s="4"/>
      <x:c r="H114" s="4"/>
      <x:c r="I114" s="16"/>
      <x:c r="J114" s="4"/>
      <x:c r="K114" s="4"/>
    </x:row>
    <x:row r="115">
      <x:c r="A115" s="4" t="str">
        <x:v>USVET_114</x:v>
      </x:c>
      <x:c r="B115" s="4" t="str">
        <x:v>principal</x:v>
      </x:c>
      <x:c r="C115" s="20"/>
      <x:c r="D115" s="20"/>
      <x:c r="E115" s="4"/>
      <x:c r="F115" s="4"/>
      <x:c r="G115" s="4"/>
      <x:c r="H115" s="4"/>
      <x:c r="I115" s="16"/>
      <x:c r="J115" s="4"/>
      <x:c r="K115" s="4"/>
    </x:row>
    <x:row r="116">
      <x:c r="A116" s="4" t="str">
        <x:v>USVET_115</x:v>
      </x:c>
      <x:c r="B116" s="4" t="str">
        <x:v>principal</x:v>
      </x:c>
      <x:c r="C116" s="20"/>
      <x:c r="D116" s="20"/>
      <x:c r="E116" s="4"/>
      <x:c r="F116" s="4"/>
      <x:c r="G116" s="4"/>
      <x:c r="H116" s="4"/>
      <x:c r="I116" s="16"/>
      <x:c r="J116" s="4"/>
      <x:c r="K116" s="4"/>
    </x:row>
  </x:sheetData>
  <x:conditionalFormatting sqref="B2:B116">
    <x:cfRule type="expression" dxfId="8" priority="1">
      <x:formula>B2="piloto"</x:formula>
    </x:cfRule>
    <x:cfRule type="expression" dxfId="9" priority="2">
      <x:formula>B2="principal"</x:formula>
    </x:cfRule>
  </x:conditionalFormatting>
  <x:conditionalFormatting sqref="J2:J116">
    <x:cfRule type="expression" dxfId="10" priority="3">
      <x:formula>J2="aprovado para uso"</x:formula>
    </x:cfRule>
    <x:cfRule type="expression" dxfId="11" priority="4">
      <x:formula>J2="pendente de revisão"</x:formula>
    </x:cfRule>
    <x:cfRule type="expression" dxfId="12" priority="5">
      <x:formula>J2="excluído"</x:formula>
    </x:cfRule>
  </x:conditionalFormatting>
  <x:dataValidations count="5">
    <x:dataValidation type="list" sqref="B2:B116">
      <x:formula1>"piloto,principal"</x:formula1>
    </x:dataValidation>
    <x:dataValidation type="list" sqref="E2:E116">
      <x:formula1>"sim,não,pendente"</x:formula1>
    </x:dataValidation>
    <x:dataValidation type="list" sqref="F2:F116">
      <x:formula1>"nome do tutor,nome do paciente,nome da clínica,telefone,endereço,data sensível,nome do profissional,múltiplos dados,não identificado,outro"</x:formula1>
    </x:dataValidation>
    <x:dataValidation type="list" sqref="G2:G116">
      <x:formula1>"tarja aplicada,recorte da imagem,substituição por código,imagem descartada,não necessário,pendente"</x:formula1>
    </x:dataValidation>
    <x:dataValidation type="list" sqref="J2:J116">
      <x:formula1>"aprovado para uso,pendente de revisão,excluído,não aplicável"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ab8438851462d"/>
  </x:tableParts>
</x:worksheet>
</file>